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hadwa\Downloads\"/>
    </mc:Choice>
  </mc:AlternateContent>
  <xr:revisionPtr revIDLastSave="0" documentId="13_ncr:1_{67BC8B3D-7DB5-46DB-BD98-34D3D053D668}" xr6:coauthVersionLast="47" xr6:coauthVersionMax="47" xr10:uidLastSave="{00000000-0000-0000-0000-000000000000}"/>
  <bookViews>
    <workbookView xWindow="-108" yWindow="-108" windowWidth="23256" windowHeight="12456" activeTab="2" xr2:uid="{6BDC814E-3ED2-45B1-A4DF-4A994E15AA28}"/>
  </bookViews>
  <sheets>
    <sheet name="Pivot" sheetId="2" r:id="rId1"/>
    <sheet name="full_expense_dataset" sheetId="1" r:id="rId2"/>
    <sheet name="Dashboard" sheetId="4" r:id="rId3"/>
  </sheets>
  <definedNames>
    <definedName name="Slicer_Categor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 l="1"/>
  <c r="J4" i="1"/>
  <c r="O101" i="1"/>
  <c r="P88" i="1"/>
  <c r="N82" i="1"/>
  <c r="M10" i="1"/>
  <c r="L8" i="1"/>
  <c r="K68" i="1"/>
  <c r="D265" i="1"/>
</calcChain>
</file>

<file path=xl/sharedStrings.xml><?xml version="1.0" encoding="utf-8"?>
<sst xmlns="http://schemas.openxmlformats.org/spreadsheetml/2006/main" count="1598" uniqueCount="31">
  <si>
    <t>Date</t>
  </si>
  <si>
    <t>Amount</t>
  </si>
  <si>
    <t>Category</t>
  </si>
  <si>
    <t>Sub-Category</t>
  </si>
  <si>
    <t>Merchant</t>
  </si>
  <si>
    <t>Month</t>
  </si>
  <si>
    <t>Day Type</t>
  </si>
  <si>
    <t>Necessity</t>
  </si>
  <si>
    <t>Food</t>
  </si>
  <si>
    <t>Snacks</t>
  </si>
  <si>
    <t>Local Shop</t>
  </si>
  <si>
    <t>Jan</t>
  </si>
  <si>
    <t>Weekday</t>
  </si>
  <si>
    <t>Want</t>
  </si>
  <si>
    <t>Meal</t>
  </si>
  <si>
    <t>Restaurant</t>
  </si>
  <si>
    <t>Need</t>
  </si>
  <si>
    <t>Travel</t>
  </si>
  <si>
    <t>Cab</t>
  </si>
  <si>
    <t>Uber</t>
  </si>
  <si>
    <t>Shopping</t>
  </si>
  <si>
    <t>Online</t>
  </si>
  <si>
    <t>Amazon</t>
  </si>
  <si>
    <t>Weekend</t>
  </si>
  <si>
    <t>Feb</t>
  </si>
  <si>
    <t>Mar</t>
  </si>
  <si>
    <t>Apr</t>
  </si>
  <si>
    <t>Row Labels</t>
  </si>
  <si>
    <t>Grand Total</t>
  </si>
  <si>
    <t>Sum of Amount</t>
  </si>
  <si>
    <t>Count of Necessity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</si>
</sst>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83B3F9"/>
      <color rgb="FFE2EDFE"/>
      <color rgb="FFB6D2FC"/>
      <color rgb="FFD3E4FD"/>
      <color rgb="FFF8FAFC"/>
      <color rgb="FF1D4ED8"/>
      <color rgb="FF3B82F6"/>
      <color rgb="FF0E85E8"/>
      <color rgb="FFF95E08"/>
      <color rgb="FFF485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 Analysis.xlsx]Pivot!PivotTable3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solidFill>
              <a:schemeClr val="accent1"/>
            </a:solidFill>
            <a:ln>
              <a:noFill/>
            </a:ln>
            <a:effectLst/>
          </c:spPr>
          <c:invertIfNegative val="0"/>
          <c:cat>
            <c:strRef>
              <c:f>Pivot!$E$4:$E$7</c:f>
              <c:strCache>
                <c:ptCount val="3"/>
                <c:pt idx="0">
                  <c:v>Food</c:v>
                </c:pt>
                <c:pt idx="1">
                  <c:v>Shopping</c:v>
                </c:pt>
                <c:pt idx="2">
                  <c:v>Travel</c:v>
                </c:pt>
              </c:strCache>
            </c:strRef>
          </c:cat>
          <c:val>
            <c:numRef>
              <c:f>Pivot!$F$4:$F$7</c:f>
              <c:numCache>
                <c:formatCode>General</c:formatCode>
                <c:ptCount val="3"/>
                <c:pt idx="0">
                  <c:v>12938.410000000002</c:v>
                </c:pt>
                <c:pt idx="1">
                  <c:v>17139.54</c:v>
                </c:pt>
                <c:pt idx="2">
                  <c:v>16883.02</c:v>
                </c:pt>
              </c:numCache>
            </c:numRef>
          </c:val>
          <c:extLst>
            <c:ext xmlns:c16="http://schemas.microsoft.com/office/drawing/2014/chart" uri="{C3380CC4-5D6E-409C-BE32-E72D297353CC}">
              <c16:uniqueId val="{00000000-4697-4A0C-BCBA-8FFA07F293CC}"/>
            </c:ext>
          </c:extLst>
        </c:ser>
        <c:dLbls>
          <c:showLegendKey val="0"/>
          <c:showVal val="0"/>
          <c:showCatName val="0"/>
          <c:showSerName val="0"/>
          <c:showPercent val="0"/>
          <c:showBubbleSize val="0"/>
        </c:dLbls>
        <c:gapWidth val="219"/>
        <c:overlap val="-27"/>
        <c:axId val="1999127840"/>
        <c:axId val="1999128320"/>
      </c:barChart>
      <c:catAx>
        <c:axId val="199912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28320"/>
        <c:crosses val="autoZero"/>
        <c:auto val="1"/>
        <c:lblAlgn val="ctr"/>
        <c:lblOffset val="100"/>
        <c:noMultiLvlLbl val="0"/>
      </c:catAx>
      <c:valAx>
        <c:axId val="199912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2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 Analysis.xlsx]Pivot!PivotTable4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Pivot!$J$3</c:f>
              <c:strCache>
                <c:ptCount val="1"/>
                <c:pt idx="0">
                  <c:v>Total</c:v>
                </c:pt>
              </c:strCache>
            </c:strRef>
          </c:tx>
          <c:spPr>
            <a:ln w="28575" cap="rnd">
              <a:solidFill>
                <a:schemeClr val="accent1"/>
              </a:solidFill>
              <a:round/>
            </a:ln>
            <a:effectLst/>
          </c:spPr>
          <c:marker>
            <c:symbol val="none"/>
          </c:marker>
          <c:cat>
            <c:strRef>
              <c:f>Pivot!$I$4:$I$8</c:f>
              <c:strCache>
                <c:ptCount val="4"/>
                <c:pt idx="0">
                  <c:v>Jan</c:v>
                </c:pt>
                <c:pt idx="1">
                  <c:v>Feb</c:v>
                </c:pt>
                <c:pt idx="2">
                  <c:v>Mar</c:v>
                </c:pt>
                <c:pt idx="3">
                  <c:v>Apr</c:v>
                </c:pt>
              </c:strCache>
            </c:strRef>
          </c:cat>
          <c:val>
            <c:numRef>
              <c:f>Pivot!$J$4:$J$8</c:f>
              <c:numCache>
                <c:formatCode>General</c:formatCode>
                <c:ptCount val="4"/>
                <c:pt idx="0">
                  <c:v>15011.04</c:v>
                </c:pt>
                <c:pt idx="1">
                  <c:v>15477.410000000002</c:v>
                </c:pt>
                <c:pt idx="2">
                  <c:v>16376.52</c:v>
                </c:pt>
                <c:pt idx="3">
                  <c:v>96</c:v>
                </c:pt>
              </c:numCache>
            </c:numRef>
          </c:val>
          <c:smooth val="0"/>
          <c:extLst>
            <c:ext xmlns:c16="http://schemas.microsoft.com/office/drawing/2014/chart" uri="{C3380CC4-5D6E-409C-BE32-E72D297353CC}">
              <c16:uniqueId val="{00000000-FBA9-42C8-9AE8-D34C5314364B}"/>
            </c:ext>
          </c:extLst>
        </c:ser>
        <c:dLbls>
          <c:showLegendKey val="0"/>
          <c:showVal val="0"/>
          <c:showCatName val="0"/>
          <c:showSerName val="0"/>
          <c:showPercent val="0"/>
          <c:showBubbleSize val="0"/>
        </c:dLbls>
        <c:smooth val="0"/>
        <c:axId val="174104960"/>
        <c:axId val="174104480"/>
      </c:lineChart>
      <c:catAx>
        <c:axId val="1741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4480"/>
        <c:crosses val="autoZero"/>
        <c:auto val="1"/>
        <c:lblAlgn val="ctr"/>
        <c:lblOffset val="100"/>
        <c:noMultiLvlLbl val="0"/>
      </c:catAx>
      <c:valAx>
        <c:axId val="17410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 Analysis.xlsx]Pivot!PivotTable1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05-4BB7-8A77-5F5E2B0940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05-4BB7-8A77-5F5E2B09408A}"/>
              </c:ext>
            </c:extLst>
          </c:dPt>
          <c:cat>
            <c:strRef>
              <c:f>Pivot!$A$4:$A$6</c:f>
              <c:strCache>
                <c:ptCount val="2"/>
                <c:pt idx="0">
                  <c:v>Weekday</c:v>
                </c:pt>
                <c:pt idx="1">
                  <c:v>Weekend</c:v>
                </c:pt>
              </c:strCache>
            </c:strRef>
          </c:cat>
          <c:val>
            <c:numRef>
              <c:f>Pivot!$B$4:$B$6</c:f>
              <c:numCache>
                <c:formatCode>General</c:formatCode>
                <c:ptCount val="2"/>
                <c:pt idx="0">
                  <c:v>35626.65</c:v>
                </c:pt>
                <c:pt idx="1">
                  <c:v>11334.320000000002</c:v>
                </c:pt>
              </c:numCache>
            </c:numRef>
          </c:val>
          <c:extLst>
            <c:ext xmlns:c16="http://schemas.microsoft.com/office/drawing/2014/chart" uri="{C3380CC4-5D6E-409C-BE32-E72D297353CC}">
              <c16:uniqueId val="{00000000-D6E1-4787-A2BA-2781DBC4DC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 Analysis.xlsx]Pivot!PivotTable6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Pivot!$F$11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60-4AE0-8A05-2C1C3CE73A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60-4AE0-8A05-2C1C3CE73A97}"/>
              </c:ext>
            </c:extLst>
          </c:dPt>
          <c:cat>
            <c:strRef>
              <c:f>Pivot!$E$12:$E$14</c:f>
              <c:strCache>
                <c:ptCount val="2"/>
                <c:pt idx="0">
                  <c:v>Need</c:v>
                </c:pt>
                <c:pt idx="1">
                  <c:v>Want</c:v>
                </c:pt>
              </c:strCache>
            </c:strRef>
          </c:cat>
          <c:val>
            <c:numRef>
              <c:f>Pivot!$F$12:$F$14</c:f>
              <c:numCache>
                <c:formatCode>General</c:formatCode>
                <c:ptCount val="2"/>
                <c:pt idx="0">
                  <c:v>27854.659999999996</c:v>
                </c:pt>
                <c:pt idx="1">
                  <c:v>19106.310000000001</c:v>
                </c:pt>
              </c:numCache>
            </c:numRef>
          </c:val>
          <c:extLst>
            <c:ext xmlns:c16="http://schemas.microsoft.com/office/drawing/2014/chart" uri="{C3380CC4-5D6E-409C-BE32-E72D297353CC}">
              <c16:uniqueId val="{00000000-C8F1-4C44-B330-ACD2C1C258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 Analysis.xlsx]Pivot!PivotTable3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bg1"/>
                </a:solidFill>
              </a:rPr>
              <a:t>Expense</a:t>
            </a:r>
            <a:r>
              <a:rPr lang="en-US" b="0" baseline="0">
                <a:solidFill>
                  <a:schemeClr val="bg1"/>
                </a:solidFill>
              </a:rPr>
              <a:t> by Category</a:t>
            </a:r>
            <a:endParaRPr lang="en-US" b="0">
              <a:solidFill>
                <a:schemeClr val="bg1"/>
              </a:solidFill>
            </a:endParaRPr>
          </a:p>
        </c:rich>
      </c:tx>
      <c:overlay val="0"/>
      <c:spPr>
        <a:solidFill>
          <a:srgbClr val="1D4ED8"/>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4E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95E08"/>
          </a:solidFill>
          <a:ln>
            <a:noFill/>
          </a:ln>
          <a:effectLst/>
        </c:spPr>
      </c:pivotFmt>
    </c:pivotFmts>
    <c:plotArea>
      <c:layout/>
      <c:barChart>
        <c:barDir val="col"/>
        <c:grouping val="clustered"/>
        <c:varyColors val="0"/>
        <c:ser>
          <c:idx val="0"/>
          <c:order val="0"/>
          <c:tx>
            <c:strRef>
              <c:f>Pivot!$F$3</c:f>
              <c:strCache>
                <c:ptCount val="1"/>
                <c:pt idx="0">
                  <c:v>Total</c:v>
                </c:pt>
              </c:strCache>
            </c:strRef>
          </c:tx>
          <c:spPr>
            <a:solidFill>
              <a:srgbClr val="1D4ED8"/>
            </a:solidFill>
            <a:ln>
              <a:noFill/>
            </a:ln>
            <a:effectLst/>
          </c:spPr>
          <c:invertIfNegative val="0"/>
          <c:dPt>
            <c:idx val="1"/>
            <c:invertIfNegative val="0"/>
            <c:bubble3D val="0"/>
            <c:spPr>
              <a:solidFill>
                <a:srgbClr val="F95E08"/>
              </a:solidFill>
              <a:ln>
                <a:noFill/>
              </a:ln>
              <a:effectLst/>
            </c:spPr>
            <c:extLst>
              <c:ext xmlns:c16="http://schemas.microsoft.com/office/drawing/2014/chart" uri="{C3380CC4-5D6E-409C-BE32-E72D297353CC}">
                <c16:uniqueId val="{00000000-310F-4DBA-9CD6-FE2AA55BBB98}"/>
              </c:ext>
            </c:extLst>
          </c:dPt>
          <c:cat>
            <c:strRef>
              <c:f>Pivot!$E$4:$E$7</c:f>
              <c:strCache>
                <c:ptCount val="3"/>
                <c:pt idx="0">
                  <c:v>Food</c:v>
                </c:pt>
                <c:pt idx="1">
                  <c:v>Shopping</c:v>
                </c:pt>
                <c:pt idx="2">
                  <c:v>Travel</c:v>
                </c:pt>
              </c:strCache>
            </c:strRef>
          </c:cat>
          <c:val>
            <c:numRef>
              <c:f>Pivot!$F$4:$F$7</c:f>
              <c:numCache>
                <c:formatCode>General</c:formatCode>
                <c:ptCount val="3"/>
                <c:pt idx="0">
                  <c:v>12938.410000000002</c:v>
                </c:pt>
                <c:pt idx="1">
                  <c:v>17139.54</c:v>
                </c:pt>
                <c:pt idx="2">
                  <c:v>16883.02</c:v>
                </c:pt>
              </c:numCache>
            </c:numRef>
          </c:val>
          <c:extLst>
            <c:ext xmlns:c16="http://schemas.microsoft.com/office/drawing/2014/chart" uri="{C3380CC4-5D6E-409C-BE32-E72D297353CC}">
              <c16:uniqueId val="{00000000-13F5-4498-A2B5-901BEAF2CA03}"/>
            </c:ext>
          </c:extLst>
        </c:ser>
        <c:dLbls>
          <c:showLegendKey val="0"/>
          <c:showVal val="0"/>
          <c:showCatName val="0"/>
          <c:showSerName val="0"/>
          <c:showPercent val="0"/>
          <c:showBubbleSize val="0"/>
        </c:dLbls>
        <c:gapWidth val="219"/>
        <c:overlap val="-27"/>
        <c:axId val="1999127840"/>
        <c:axId val="1999128320"/>
      </c:barChart>
      <c:catAx>
        <c:axId val="199912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28320"/>
        <c:crosses val="autoZero"/>
        <c:auto val="1"/>
        <c:lblAlgn val="ctr"/>
        <c:lblOffset val="100"/>
        <c:noMultiLvlLbl val="0"/>
      </c:catAx>
      <c:valAx>
        <c:axId val="199912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 Analysis.xlsx]Pivot!PivotTable4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Monthly</a:t>
            </a:r>
            <a:r>
              <a:rPr lang="en-US" baseline="0">
                <a:solidFill>
                  <a:schemeClr val="bg1"/>
                </a:solidFill>
              </a:rPr>
              <a:t> Spending Trend</a:t>
            </a:r>
            <a:endParaRPr lang="en-US">
              <a:solidFill>
                <a:schemeClr val="bg1"/>
              </a:solidFill>
            </a:endParaRPr>
          </a:p>
        </c:rich>
      </c:tx>
      <c:overlay val="0"/>
      <c:spPr>
        <a:solidFill>
          <a:srgbClr val="1D4ED8"/>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D4E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Pivot!$J$3</c:f>
              <c:strCache>
                <c:ptCount val="1"/>
                <c:pt idx="0">
                  <c:v>Total</c:v>
                </c:pt>
              </c:strCache>
            </c:strRef>
          </c:tx>
          <c:spPr>
            <a:ln w="28575" cap="rnd">
              <a:solidFill>
                <a:srgbClr val="1D4ED8"/>
              </a:solidFill>
              <a:round/>
            </a:ln>
            <a:effectLst/>
          </c:spPr>
          <c:marker>
            <c:symbol val="none"/>
          </c:marker>
          <c:cat>
            <c:strRef>
              <c:f>Pivot!$I$4:$I$8</c:f>
              <c:strCache>
                <c:ptCount val="4"/>
                <c:pt idx="0">
                  <c:v>Jan</c:v>
                </c:pt>
                <c:pt idx="1">
                  <c:v>Feb</c:v>
                </c:pt>
                <c:pt idx="2">
                  <c:v>Mar</c:v>
                </c:pt>
                <c:pt idx="3">
                  <c:v>Apr</c:v>
                </c:pt>
              </c:strCache>
            </c:strRef>
          </c:cat>
          <c:val>
            <c:numRef>
              <c:f>Pivot!$J$4:$J$8</c:f>
              <c:numCache>
                <c:formatCode>General</c:formatCode>
                <c:ptCount val="4"/>
                <c:pt idx="0">
                  <c:v>15011.04</c:v>
                </c:pt>
                <c:pt idx="1">
                  <c:v>15477.410000000002</c:v>
                </c:pt>
                <c:pt idx="2">
                  <c:v>16376.52</c:v>
                </c:pt>
                <c:pt idx="3">
                  <c:v>96</c:v>
                </c:pt>
              </c:numCache>
            </c:numRef>
          </c:val>
          <c:smooth val="0"/>
          <c:extLst>
            <c:ext xmlns:c16="http://schemas.microsoft.com/office/drawing/2014/chart" uri="{C3380CC4-5D6E-409C-BE32-E72D297353CC}">
              <c16:uniqueId val="{00000000-FB9E-43A4-99EA-558F14CC44D3}"/>
            </c:ext>
          </c:extLst>
        </c:ser>
        <c:dLbls>
          <c:showLegendKey val="0"/>
          <c:showVal val="0"/>
          <c:showCatName val="0"/>
          <c:showSerName val="0"/>
          <c:showPercent val="0"/>
          <c:showBubbleSize val="0"/>
        </c:dLbls>
        <c:smooth val="0"/>
        <c:axId val="174104960"/>
        <c:axId val="174104480"/>
      </c:lineChart>
      <c:catAx>
        <c:axId val="1741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4480"/>
        <c:crosses val="autoZero"/>
        <c:auto val="1"/>
        <c:lblAlgn val="ctr"/>
        <c:lblOffset val="100"/>
        <c:noMultiLvlLbl val="0"/>
      </c:catAx>
      <c:valAx>
        <c:axId val="17410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 Analysis.xlsx]Pivot!PivotTable1</c:name>
    <c:fmtId val="1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GB" b="0">
                <a:solidFill>
                  <a:schemeClr val="bg1"/>
                </a:solidFill>
              </a:rPr>
              <a:t>Weekday vs Weekend</a:t>
            </a:r>
          </a:p>
        </c:rich>
      </c:tx>
      <c:overlay val="0"/>
      <c:spPr>
        <a:solidFill>
          <a:srgbClr val="1D4ED8"/>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rgbClr val="F95E08"/>
          </a:solidFill>
          <a:ln>
            <a:solidFill>
              <a:srgbClr val="F8FAFC"/>
            </a:solid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1D4ED8"/>
          </a:solidFill>
          <a:ln>
            <a:solidFill>
              <a:srgbClr val="F8FAFC"/>
            </a:soli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rgbClr val="F95E08"/>
          </a:solidFill>
          <a:ln>
            <a:solidFill>
              <a:srgbClr val="F8FAFC"/>
            </a:soli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Pivot!$B$3</c:f>
              <c:strCache>
                <c:ptCount val="1"/>
                <c:pt idx="0">
                  <c:v>Total</c:v>
                </c:pt>
              </c:strCache>
            </c:strRef>
          </c:tx>
          <c:spPr>
            <a:solidFill>
              <a:srgbClr val="F95E08"/>
            </a:solidFill>
            <a:ln>
              <a:solidFill>
                <a:srgbClr val="F8FAFC"/>
              </a:solidFill>
            </a:ln>
          </c:spPr>
          <c:dPt>
            <c:idx val="0"/>
            <c:bubble3D val="0"/>
            <c:spPr>
              <a:solidFill>
                <a:srgbClr val="1D4ED8"/>
              </a:solidFill>
              <a:ln>
                <a:solidFill>
                  <a:srgbClr val="F8FAFC"/>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340F-4FF3-8DFF-E851763BE0A9}"/>
              </c:ext>
            </c:extLst>
          </c:dPt>
          <c:dPt>
            <c:idx val="1"/>
            <c:bubble3D val="0"/>
            <c:spPr>
              <a:solidFill>
                <a:srgbClr val="F95E08"/>
              </a:solidFill>
              <a:ln>
                <a:solidFill>
                  <a:srgbClr val="F8FAFC"/>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340F-4FF3-8DFF-E851763BE0A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Weekday</c:v>
                </c:pt>
                <c:pt idx="1">
                  <c:v>Weekend</c:v>
                </c:pt>
              </c:strCache>
            </c:strRef>
          </c:cat>
          <c:val>
            <c:numRef>
              <c:f>Pivot!$B$4:$B$6</c:f>
              <c:numCache>
                <c:formatCode>General</c:formatCode>
                <c:ptCount val="2"/>
                <c:pt idx="0">
                  <c:v>35626.65</c:v>
                </c:pt>
                <c:pt idx="1">
                  <c:v>11334.320000000002</c:v>
                </c:pt>
              </c:numCache>
            </c:numRef>
          </c:val>
          <c:extLst>
            <c:ext xmlns:c16="http://schemas.microsoft.com/office/drawing/2014/chart" uri="{C3380CC4-5D6E-409C-BE32-E72D297353CC}">
              <c16:uniqueId val="{00000010-340F-4FF3-8DFF-E851763BE0A9}"/>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 Analysis.xlsx]Pivot!PivotTable6</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0">
                <a:solidFill>
                  <a:schemeClr val="bg1"/>
                </a:solidFill>
              </a:rPr>
              <a:t>Need vs Want</a:t>
            </a:r>
          </a:p>
        </c:rich>
      </c:tx>
      <c:overlay val="0"/>
      <c:spPr>
        <a:solidFill>
          <a:srgbClr val="1D4ED8"/>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1D4ED8"/>
          </a:solidFill>
          <a:ln>
            <a:solidFill>
              <a:srgbClr val="F8FAFC"/>
            </a:solid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D4ED8"/>
          </a:solidFill>
          <a:ln>
            <a:solidFill>
              <a:srgbClr val="F8FAFC"/>
            </a:solidFill>
          </a:ln>
          <a:effectLst>
            <a:outerShdw blurRad="317500" algn="ctr" rotWithShape="0">
              <a:prstClr val="black">
                <a:alpha val="25000"/>
              </a:prstClr>
            </a:outerShdw>
          </a:effectLst>
        </c:spPr>
      </c:pivotFmt>
      <c:pivotFmt>
        <c:idx val="6"/>
        <c:spPr>
          <a:solidFill>
            <a:srgbClr val="F95E08"/>
          </a:solidFill>
          <a:ln>
            <a:solidFill>
              <a:srgbClr val="F8FAFC"/>
            </a:solidFill>
          </a:ln>
          <a:effectLst>
            <a:outerShdw blurRad="317500" algn="ctr" rotWithShape="0">
              <a:prstClr val="black">
                <a:alpha val="25000"/>
              </a:prstClr>
            </a:outerShdw>
          </a:effectLst>
        </c:spPr>
      </c:pivotFmt>
    </c:pivotFmts>
    <c:plotArea>
      <c:layout/>
      <c:pieChart>
        <c:varyColors val="1"/>
        <c:ser>
          <c:idx val="0"/>
          <c:order val="0"/>
          <c:tx>
            <c:strRef>
              <c:f>Pivot!$F$11</c:f>
              <c:strCache>
                <c:ptCount val="1"/>
                <c:pt idx="0">
                  <c:v>Total</c:v>
                </c:pt>
              </c:strCache>
            </c:strRef>
          </c:tx>
          <c:spPr>
            <a:solidFill>
              <a:srgbClr val="1D4ED8"/>
            </a:solidFill>
            <a:ln>
              <a:solidFill>
                <a:srgbClr val="F8FAFC"/>
              </a:solidFill>
            </a:ln>
          </c:spPr>
          <c:dPt>
            <c:idx val="0"/>
            <c:bubble3D val="0"/>
            <c:spPr>
              <a:solidFill>
                <a:srgbClr val="1D4ED8"/>
              </a:solidFill>
              <a:ln>
                <a:solidFill>
                  <a:srgbClr val="F8FAFC"/>
                </a:solidFill>
              </a:ln>
              <a:effectLst>
                <a:outerShdw blurRad="317500" algn="ctr" rotWithShape="0">
                  <a:prstClr val="black">
                    <a:alpha val="25000"/>
                  </a:prstClr>
                </a:outerShdw>
              </a:effectLst>
            </c:spPr>
            <c:extLst>
              <c:ext xmlns:c16="http://schemas.microsoft.com/office/drawing/2014/chart" uri="{C3380CC4-5D6E-409C-BE32-E72D297353CC}">
                <c16:uniqueId val="{00000001-23E6-4EC0-BE94-280C4A00AD50}"/>
              </c:ext>
            </c:extLst>
          </c:dPt>
          <c:dPt>
            <c:idx val="1"/>
            <c:bubble3D val="0"/>
            <c:spPr>
              <a:solidFill>
                <a:srgbClr val="F95E08"/>
              </a:solidFill>
              <a:ln>
                <a:solidFill>
                  <a:srgbClr val="F8FAFC"/>
                </a:solidFill>
              </a:ln>
              <a:effectLst>
                <a:outerShdw blurRad="317500" algn="ctr" rotWithShape="0">
                  <a:prstClr val="black">
                    <a:alpha val="25000"/>
                  </a:prstClr>
                </a:outerShdw>
              </a:effectLst>
            </c:spPr>
            <c:extLst>
              <c:ext xmlns:c16="http://schemas.microsoft.com/office/drawing/2014/chart" uri="{C3380CC4-5D6E-409C-BE32-E72D297353CC}">
                <c16:uniqueId val="{00000003-23E6-4EC0-BE94-280C4A00AD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Pivot!$E$12:$E$14</c:f>
              <c:strCache>
                <c:ptCount val="2"/>
                <c:pt idx="0">
                  <c:v>Need</c:v>
                </c:pt>
                <c:pt idx="1">
                  <c:v>Want</c:v>
                </c:pt>
              </c:strCache>
            </c:strRef>
          </c:cat>
          <c:val>
            <c:numRef>
              <c:f>Pivot!$F$12:$F$14</c:f>
              <c:numCache>
                <c:formatCode>General</c:formatCode>
                <c:ptCount val="2"/>
                <c:pt idx="0">
                  <c:v>27854.659999999996</c:v>
                </c:pt>
                <c:pt idx="1">
                  <c:v>19106.310000000001</c:v>
                </c:pt>
              </c:numCache>
            </c:numRef>
          </c:val>
          <c:extLst>
            <c:ext xmlns:c16="http://schemas.microsoft.com/office/drawing/2014/chart" uri="{C3380CC4-5D6E-409C-BE32-E72D297353CC}">
              <c16:uniqueId val="{00000004-23E6-4EC0-BE94-280C4A00AD5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457200</xdr:colOff>
      <xdr:row>17</xdr:row>
      <xdr:rowOff>64770</xdr:rowOff>
    </xdr:from>
    <xdr:to>
      <xdr:col>9</xdr:col>
      <xdr:colOff>144780</xdr:colOff>
      <xdr:row>32</xdr:row>
      <xdr:rowOff>64770</xdr:rowOff>
    </xdr:to>
    <xdr:graphicFrame macro="">
      <xdr:nvGraphicFramePr>
        <xdr:cNvPr id="2" name="Chart 1">
          <a:extLst>
            <a:ext uri="{FF2B5EF4-FFF2-40B4-BE49-F238E27FC236}">
              <a16:creationId xmlns:a16="http://schemas.microsoft.com/office/drawing/2014/main" id="{67436B10-59EF-FEFB-9F20-0E2ECBF7A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175260</xdr:colOff>
      <xdr:row>19</xdr:row>
      <xdr:rowOff>3810</xdr:rowOff>
    </xdr:from>
    <xdr:to>
      <xdr:col>12</xdr:col>
      <xdr:colOff>525780</xdr:colOff>
      <xdr:row>34</xdr:row>
      <xdr:rowOff>3810</xdr:rowOff>
    </xdr:to>
    <xdr:graphicFrame macro="">
      <xdr:nvGraphicFramePr>
        <xdr:cNvPr id="3" name="Chart 2">
          <a:extLst>
            <a:ext uri="{FF2B5EF4-FFF2-40B4-BE49-F238E27FC236}">
              <a16:creationId xmlns:a16="http://schemas.microsoft.com/office/drawing/2014/main" id="{5A030571-5DAA-DE45-F7B5-6A70085ED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57150</xdr:rowOff>
    </xdr:from>
    <xdr:to>
      <xdr:col>5</xdr:col>
      <xdr:colOff>510540</xdr:colOff>
      <xdr:row>32</xdr:row>
      <xdr:rowOff>57150</xdr:rowOff>
    </xdr:to>
    <xdr:graphicFrame macro="">
      <xdr:nvGraphicFramePr>
        <xdr:cNvPr id="4" name="Chart 3">
          <a:extLst>
            <a:ext uri="{FF2B5EF4-FFF2-40B4-BE49-F238E27FC236}">
              <a16:creationId xmlns:a16="http://schemas.microsoft.com/office/drawing/2014/main" id="{C1DE9600-609F-9FF8-C76E-5C5A466AF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480060</xdr:colOff>
      <xdr:row>8</xdr:row>
      <xdr:rowOff>148590</xdr:rowOff>
    </xdr:from>
    <xdr:to>
      <xdr:col>9</xdr:col>
      <xdr:colOff>373380</xdr:colOff>
      <xdr:row>23</xdr:row>
      <xdr:rowOff>148590</xdr:rowOff>
    </xdr:to>
    <xdr:graphicFrame macro="">
      <xdr:nvGraphicFramePr>
        <xdr:cNvPr id="6" name="Chart 5">
          <a:extLst>
            <a:ext uri="{FF2B5EF4-FFF2-40B4-BE49-F238E27FC236}">
              <a16:creationId xmlns:a16="http://schemas.microsoft.com/office/drawing/2014/main" id="{46BD0728-8D45-A855-A3D6-4A47108A8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464820</xdr:colOff>
      <xdr:row>1</xdr:row>
      <xdr:rowOff>53340</xdr:rowOff>
    </xdr:from>
    <xdr:to>
      <xdr:col>14</xdr:col>
      <xdr:colOff>464820</xdr:colOff>
      <xdr:row>14</xdr:row>
      <xdr:rowOff>142875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8C5EF2C-7F28-3A4C-9152-27A9352961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16440" y="2362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167640</xdr:colOff>
      <xdr:row>16</xdr:row>
      <xdr:rowOff>38100</xdr:rowOff>
    </xdr:from>
    <xdr:to>
      <xdr:col>16</xdr:col>
      <xdr:colOff>167640</xdr:colOff>
      <xdr:row>29</xdr:row>
      <xdr:rowOff>127635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4E1F0A9-1087-4A31-4884-94E9E4B9FC9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38460" y="29641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29940</xdr:rowOff>
    </xdr:from>
    <xdr:to>
      <xdr:col>19</xdr:col>
      <xdr:colOff>461494</xdr:colOff>
      <xdr:row>40</xdr:row>
      <xdr:rowOff>62138</xdr:rowOff>
    </xdr:to>
    <xdr:sp macro="" textlink="">
      <xdr:nvSpPr>
        <xdr:cNvPr id="5" name="Rectangle 4">
          <a:extLst>
            <a:ext uri="{FF2B5EF4-FFF2-40B4-BE49-F238E27FC236}">
              <a16:creationId xmlns:a16="http://schemas.microsoft.com/office/drawing/2014/main" id="{9D388BFA-4411-61C5-51A8-1162E1C14EEA}"/>
            </a:ext>
          </a:extLst>
        </xdr:cNvPr>
        <xdr:cNvSpPr/>
      </xdr:nvSpPr>
      <xdr:spPr>
        <a:xfrm>
          <a:off x="0" y="294983"/>
          <a:ext cx="12001929" cy="7354025"/>
        </a:xfrm>
        <a:prstGeom prst="rect">
          <a:avLst/>
        </a:prstGeom>
        <a:solidFill>
          <a:srgbClr val="E2E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143021</xdr:colOff>
      <xdr:row>8</xdr:row>
      <xdr:rowOff>23446</xdr:rowOff>
    </xdr:from>
    <xdr:to>
      <xdr:col>7</xdr:col>
      <xdr:colOff>447821</xdr:colOff>
      <xdr:row>23</xdr:row>
      <xdr:rowOff>23445</xdr:rowOff>
    </xdr:to>
    <xdr:graphicFrame macro="">
      <xdr:nvGraphicFramePr>
        <xdr:cNvPr id="12" name="Chart 11">
          <a:extLst>
            <a:ext uri="{FF2B5EF4-FFF2-40B4-BE49-F238E27FC236}">
              <a16:creationId xmlns:a16="http://schemas.microsoft.com/office/drawing/2014/main" id="{61F22E3C-7A15-4EDD-9E8D-11AB041DC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65467</xdr:colOff>
      <xdr:row>8</xdr:row>
      <xdr:rowOff>34064</xdr:rowOff>
    </xdr:from>
    <xdr:to>
      <xdr:col>15</xdr:col>
      <xdr:colOff>329236</xdr:colOff>
      <xdr:row>23</xdr:row>
      <xdr:rowOff>29688</xdr:rowOff>
    </xdr:to>
    <xdr:graphicFrame macro="">
      <xdr:nvGraphicFramePr>
        <xdr:cNvPr id="14" name="Chart 13">
          <a:extLst>
            <a:ext uri="{FF2B5EF4-FFF2-40B4-BE49-F238E27FC236}">
              <a16:creationId xmlns:a16="http://schemas.microsoft.com/office/drawing/2014/main" id="{DF651D9F-888B-4781-8E1F-F0322855F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138545</xdr:colOff>
      <xdr:row>24</xdr:row>
      <xdr:rowOff>158337</xdr:rowOff>
    </xdr:from>
    <xdr:to>
      <xdr:col>7</xdr:col>
      <xdr:colOff>435429</xdr:colOff>
      <xdr:row>39</xdr:row>
      <xdr:rowOff>170623</xdr:rowOff>
    </xdr:to>
    <xdr:graphicFrame macro="">
      <xdr:nvGraphicFramePr>
        <xdr:cNvPr id="15" name="Chart 14">
          <a:extLst>
            <a:ext uri="{FF2B5EF4-FFF2-40B4-BE49-F238E27FC236}">
              <a16:creationId xmlns:a16="http://schemas.microsoft.com/office/drawing/2014/main" id="{FE288225-1524-4102-86E6-D715E1E1B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93073</xdr:colOff>
      <xdr:row>24</xdr:row>
      <xdr:rowOff>148441</xdr:rowOff>
    </xdr:from>
    <xdr:to>
      <xdr:col>15</xdr:col>
      <xdr:colOff>336467</xdr:colOff>
      <xdr:row>39</xdr:row>
      <xdr:rowOff>150947</xdr:rowOff>
    </xdr:to>
    <xdr:graphicFrame macro="">
      <xdr:nvGraphicFramePr>
        <xdr:cNvPr id="16" name="Chart 15">
          <a:extLst>
            <a:ext uri="{FF2B5EF4-FFF2-40B4-BE49-F238E27FC236}">
              <a16:creationId xmlns:a16="http://schemas.microsoft.com/office/drawing/2014/main" id="{94ECA754-DA80-4DBB-88C9-9D7F832E8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206486</xdr:colOff>
      <xdr:row>8</xdr:row>
      <xdr:rowOff>48339</xdr:rowOff>
    </xdr:from>
    <xdr:to>
      <xdr:col>19</xdr:col>
      <xdr:colOff>188902</xdr:colOff>
      <xdr:row>22</xdr:row>
      <xdr:rowOff>53468</xdr:rowOff>
    </xdr:to>
    <mc:AlternateContent xmlns:mc="http://schemas.openxmlformats.org/markup-compatibility/2006">
      <mc:Choice xmlns:a14="http://schemas.microsoft.com/office/drawing/2010/main" Requires="a14">
        <xdr:graphicFrame macro="">
          <xdr:nvGraphicFramePr>
            <xdr:cNvPr id="17" name="Category 1">
              <a:extLst>
                <a:ext uri="{FF2B5EF4-FFF2-40B4-BE49-F238E27FC236}">
                  <a16:creationId xmlns:a16="http://schemas.microsoft.com/office/drawing/2014/main" id="{B0DF1418-E26D-4E79-9BFC-076376E885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960086" y="1581864"/>
              <a:ext cx="1811216" cy="25387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260723</xdr:colOff>
      <xdr:row>25</xdr:row>
      <xdr:rowOff>12751</xdr:rowOff>
    </xdr:from>
    <xdr:to>
      <xdr:col>19</xdr:col>
      <xdr:colOff>243139</xdr:colOff>
      <xdr:row>39</xdr:row>
      <xdr:rowOff>17880</xdr:rowOff>
    </xdr:to>
    <mc:AlternateContent xmlns:mc="http://schemas.openxmlformats.org/markup-compatibility/2006">
      <mc:Choice xmlns:a14="http://schemas.microsoft.com/office/drawing/2010/main" Requires="a14">
        <xdr:graphicFrame macro="">
          <xdr:nvGraphicFramePr>
            <xdr:cNvPr id="18" name="Month 1">
              <a:extLst>
                <a:ext uri="{FF2B5EF4-FFF2-40B4-BE49-F238E27FC236}">
                  <a16:creationId xmlns:a16="http://schemas.microsoft.com/office/drawing/2014/main" id="{5C3F35EC-EF8E-42E7-8506-99774E6EE0B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014323" y="4622851"/>
              <a:ext cx="1811216" cy="25387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561839</xdr:colOff>
      <xdr:row>2</xdr:row>
      <xdr:rowOff>55474</xdr:rowOff>
    </xdr:from>
    <xdr:to>
      <xdr:col>5</xdr:col>
      <xdr:colOff>429849</xdr:colOff>
      <xdr:row>4</xdr:row>
      <xdr:rowOff>10732</xdr:rowOff>
    </xdr:to>
    <xdr:sp macro="" textlink="">
      <xdr:nvSpPr>
        <xdr:cNvPr id="19" name="Rectangle: Rounded Corners 18">
          <a:extLst>
            <a:ext uri="{FF2B5EF4-FFF2-40B4-BE49-F238E27FC236}">
              <a16:creationId xmlns:a16="http://schemas.microsoft.com/office/drawing/2014/main" id="{3CE7FCC3-69AD-ABB0-DD9C-78A4BA15510D}"/>
            </a:ext>
          </a:extLst>
        </xdr:cNvPr>
        <xdr:cNvSpPr/>
      </xdr:nvSpPr>
      <xdr:spPr>
        <a:xfrm>
          <a:off x="561839" y="506235"/>
          <a:ext cx="2926742" cy="320159"/>
        </a:xfrm>
        <a:prstGeom prst="roundRect">
          <a:avLst/>
        </a:prstGeom>
        <a:solidFill>
          <a:srgbClr val="1D4E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600"/>
            <a:t>TOTAL EXPENSE</a:t>
          </a:r>
        </a:p>
      </xdr:txBody>
    </xdr:sp>
    <xdr:clientData/>
  </xdr:twoCellAnchor>
  <xdr:twoCellAnchor>
    <xdr:from>
      <xdr:col>0</xdr:col>
      <xdr:colOff>561859</xdr:colOff>
      <xdr:row>3</xdr:row>
      <xdr:rowOff>123086</xdr:rowOff>
    </xdr:from>
    <xdr:to>
      <xdr:col>5</xdr:col>
      <xdr:colOff>429869</xdr:colOff>
      <xdr:row>5</xdr:row>
      <xdr:rowOff>77914</xdr:rowOff>
    </xdr:to>
    <xdr:sp macro="" textlink="">
      <xdr:nvSpPr>
        <xdr:cNvPr id="22" name="Rectangle: Rounded Corners 21">
          <a:extLst>
            <a:ext uri="{FF2B5EF4-FFF2-40B4-BE49-F238E27FC236}">
              <a16:creationId xmlns:a16="http://schemas.microsoft.com/office/drawing/2014/main" id="{FAF210BB-49DA-4B3C-A1EA-4C35394656EE}"/>
            </a:ext>
          </a:extLst>
        </xdr:cNvPr>
        <xdr:cNvSpPr/>
      </xdr:nvSpPr>
      <xdr:spPr>
        <a:xfrm>
          <a:off x="561859" y="752351"/>
          <a:ext cx="2916010" cy="318621"/>
        </a:xfrm>
        <a:prstGeom prst="roundRect">
          <a:avLst/>
        </a:prstGeom>
        <a:solidFill>
          <a:srgbClr val="83B3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₹46,960</a:t>
          </a:r>
        </a:p>
      </xdr:txBody>
    </xdr:sp>
    <xdr:clientData/>
  </xdr:twoCellAnchor>
  <xdr:twoCellAnchor>
    <xdr:from>
      <xdr:col>7</xdr:col>
      <xdr:colOff>41922</xdr:colOff>
      <xdr:row>2</xdr:row>
      <xdr:rowOff>51635</xdr:rowOff>
    </xdr:from>
    <xdr:to>
      <xdr:col>11</xdr:col>
      <xdr:colOff>518066</xdr:colOff>
      <xdr:row>4</xdr:row>
      <xdr:rowOff>6464</xdr:rowOff>
    </xdr:to>
    <xdr:sp macro="" textlink="">
      <xdr:nvSpPr>
        <xdr:cNvPr id="24" name="Rectangle: Rounded Corners 23">
          <a:extLst>
            <a:ext uri="{FF2B5EF4-FFF2-40B4-BE49-F238E27FC236}">
              <a16:creationId xmlns:a16="http://schemas.microsoft.com/office/drawing/2014/main" id="{53B0BC23-B361-4780-8268-366B98F78923}"/>
            </a:ext>
          </a:extLst>
        </xdr:cNvPr>
        <xdr:cNvSpPr/>
      </xdr:nvSpPr>
      <xdr:spPr>
        <a:xfrm>
          <a:off x="4298864" y="498577"/>
          <a:ext cx="2908683" cy="321175"/>
        </a:xfrm>
        <a:prstGeom prst="roundRect">
          <a:avLst/>
        </a:prstGeom>
        <a:solidFill>
          <a:srgbClr val="1D4E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600"/>
            <a:t>TOP</a:t>
          </a:r>
          <a:r>
            <a:rPr lang="en-GB" sz="1600" baseline="0"/>
            <a:t> CATEGORY</a:t>
          </a:r>
          <a:endParaRPr lang="en-GB" sz="1600"/>
        </a:p>
      </xdr:txBody>
    </xdr:sp>
    <xdr:clientData/>
  </xdr:twoCellAnchor>
  <xdr:twoCellAnchor>
    <xdr:from>
      <xdr:col>7</xdr:col>
      <xdr:colOff>41242</xdr:colOff>
      <xdr:row>3</xdr:row>
      <xdr:rowOff>106593</xdr:rowOff>
    </xdr:from>
    <xdr:to>
      <xdr:col>11</xdr:col>
      <xdr:colOff>517386</xdr:colOff>
      <xdr:row>5</xdr:row>
      <xdr:rowOff>61714</xdr:rowOff>
    </xdr:to>
    <xdr:sp macro="" textlink="">
      <xdr:nvSpPr>
        <xdr:cNvPr id="25" name="Rectangle: Rounded Corners 24">
          <a:extLst>
            <a:ext uri="{FF2B5EF4-FFF2-40B4-BE49-F238E27FC236}">
              <a16:creationId xmlns:a16="http://schemas.microsoft.com/office/drawing/2014/main" id="{FF13B8BA-7EFA-403F-B265-73FC3F69B8BB}"/>
            </a:ext>
          </a:extLst>
        </xdr:cNvPr>
        <xdr:cNvSpPr/>
      </xdr:nvSpPr>
      <xdr:spPr>
        <a:xfrm>
          <a:off x="4315507" y="737388"/>
          <a:ext cx="2918581" cy="318458"/>
        </a:xfrm>
        <a:prstGeom prst="roundRect">
          <a:avLst/>
        </a:prstGeom>
        <a:solidFill>
          <a:srgbClr val="83B3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Shopping(₹17k)</a:t>
          </a:r>
        </a:p>
      </xdr:txBody>
    </xdr:sp>
    <xdr:clientData/>
  </xdr:twoCellAnchor>
  <xdr:twoCellAnchor>
    <xdr:from>
      <xdr:col>13</xdr:col>
      <xdr:colOff>533777</xdr:colOff>
      <xdr:row>2</xdr:row>
      <xdr:rowOff>40882</xdr:rowOff>
    </xdr:from>
    <xdr:to>
      <xdr:col>18</xdr:col>
      <xdr:colOff>401787</xdr:colOff>
      <xdr:row>3</xdr:row>
      <xdr:rowOff>173839</xdr:rowOff>
    </xdr:to>
    <xdr:sp macro="" textlink="">
      <xdr:nvSpPr>
        <xdr:cNvPr id="26" name="Rectangle: Rounded Corners 25">
          <a:extLst>
            <a:ext uri="{FF2B5EF4-FFF2-40B4-BE49-F238E27FC236}">
              <a16:creationId xmlns:a16="http://schemas.microsoft.com/office/drawing/2014/main" id="{99DE1EE1-DCA9-43D5-82C9-501ABF6C06A7}"/>
            </a:ext>
          </a:extLst>
        </xdr:cNvPr>
        <xdr:cNvSpPr/>
      </xdr:nvSpPr>
      <xdr:spPr>
        <a:xfrm>
          <a:off x="8510037" y="486207"/>
          <a:ext cx="2935802" cy="311087"/>
        </a:xfrm>
        <a:prstGeom prst="roundRect">
          <a:avLst/>
        </a:prstGeom>
        <a:solidFill>
          <a:srgbClr val="1D4E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600"/>
            <a:t>Need</a:t>
          </a:r>
          <a:r>
            <a:rPr lang="en-GB" sz="1600" baseline="0"/>
            <a:t> vs Want</a:t>
          </a:r>
          <a:endParaRPr lang="en-GB" sz="1600"/>
        </a:p>
      </xdr:txBody>
    </xdr:sp>
    <xdr:clientData/>
  </xdr:twoCellAnchor>
  <xdr:twoCellAnchor>
    <xdr:from>
      <xdr:col>13</xdr:col>
      <xdr:colOff>534159</xdr:colOff>
      <xdr:row>3</xdr:row>
      <xdr:rowOff>88837</xdr:rowOff>
    </xdr:from>
    <xdr:to>
      <xdr:col>18</xdr:col>
      <xdr:colOff>402169</xdr:colOff>
      <xdr:row>5</xdr:row>
      <xdr:rowOff>43665</xdr:rowOff>
    </xdr:to>
    <xdr:sp macro="" textlink="">
      <xdr:nvSpPr>
        <xdr:cNvPr id="27" name="Rectangle: Rounded Corners 26">
          <a:extLst>
            <a:ext uri="{FF2B5EF4-FFF2-40B4-BE49-F238E27FC236}">
              <a16:creationId xmlns:a16="http://schemas.microsoft.com/office/drawing/2014/main" id="{DC90CA55-D33F-4320-9365-A31151512C34}"/>
            </a:ext>
          </a:extLst>
        </xdr:cNvPr>
        <xdr:cNvSpPr/>
      </xdr:nvSpPr>
      <xdr:spPr>
        <a:xfrm>
          <a:off x="8458959" y="717892"/>
          <a:ext cx="2916010" cy="317994"/>
        </a:xfrm>
        <a:prstGeom prst="roundRect">
          <a:avLst/>
        </a:prstGeom>
        <a:solidFill>
          <a:srgbClr val="83B3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0">
              <a:solidFill>
                <a:schemeClr val="tx1"/>
              </a:solidFill>
            </a:rPr>
            <a:t>Need</a:t>
          </a:r>
          <a:r>
            <a:rPr lang="en-GB" sz="1600" b="0" baseline="0">
              <a:solidFill>
                <a:schemeClr val="tx1"/>
              </a:solidFill>
            </a:rPr>
            <a:t> 59% |Want 41%</a:t>
          </a:r>
          <a:endParaRPr lang="en-GB" sz="1600" b="0">
            <a:solidFill>
              <a:schemeClr val="tx1"/>
            </a:solidFill>
          </a:endParaRPr>
        </a:p>
      </xdr:txBody>
    </xdr:sp>
    <xdr:clientData/>
  </xdr:twoCellAnchor>
  <xdr:twoCellAnchor>
    <xdr:from>
      <xdr:col>0</xdr:col>
      <xdr:colOff>10439</xdr:colOff>
      <xdr:row>0</xdr:row>
      <xdr:rowOff>20877</xdr:rowOff>
    </xdr:from>
    <xdr:to>
      <xdr:col>19</xdr:col>
      <xdr:colOff>485913</xdr:colOff>
      <xdr:row>1</xdr:row>
      <xdr:rowOff>33131</xdr:rowOff>
    </xdr:to>
    <xdr:sp macro="" textlink="">
      <xdr:nvSpPr>
        <xdr:cNvPr id="29" name="Rectangle: Rounded Corners 28">
          <a:extLst>
            <a:ext uri="{FF2B5EF4-FFF2-40B4-BE49-F238E27FC236}">
              <a16:creationId xmlns:a16="http://schemas.microsoft.com/office/drawing/2014/main" id="{57D51512-5DF9-630B-F683-314752D9ACB8}"/>
            </a:ext>
          </a:extLst>
        </xdr:cNvPr>
        <xdr:cNvSpPr/>
      </xdr:nvSpPr>
      <xdr:spPr>
        <a:xfrm>
          <a:off x="10439" y="20877"/>
          <a:ext cx="12015909" cy="277297"/>
        </a:xfrm>
        <a:prstGeom prst="roundRect">
          <a:avLst/>
        </a:prstGeom>
        <a:solidFill>
          <a:srgbClr val="1D4ED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a:t>                                                 Personal Expense Dashboard(1-JAN-2026 TO 1-APR-2026)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 Hadwani" refreshedDate="46119.938186226849" createdVersion="8" refreshedVersion="8" minRefreshableVersion="3" recordCount="259" xr:uid="{B2DD279A-8FC8-44CA-B114-07425AFC504C}">
  <cacheSource type="worksheet">
    <worksheetSource ref="A1:H260" sheet="full_expense_dataset"/>
  </cacheSource>
  <cacheFields count="10">
    <cacheField name="Date" numFmtId="15">
      <sharedItems containsSemiMixedTypes="0" containsNonDate="0" containsDate="1" containsString="0" minDate="2026-01-01T00:00:00" maxDate="2026-04-02T00:00:00" count="80">
        <d v="2026-01-01T00:00:00"/>
        <d v="2026-01-02T00:00:00"/>
        <d v="2026-01-03T00:00:00"/>
        <d v="2026-01-04T00:00:00"/>
        <d v="2026-01-05T00:00:00"/>
        <d v="2026-01-06T00:00:00"/>
        <d v="2026-01-07T00:00:00"/>
        <d v="2026-01-08T00:00:00"/>
        <d v="2026-01-09T00:00:00"/>
        <d v="2026-01-10T00:00:00"/>
        <d v="2026-01-11T00:00:00"/>
        <d v="2026-01-15T00:00:00"/>
        <d v="2026-01-16T00:00:00"/>
        <d v="2026-01-17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3-01T00:00:00"/>
        <d v="2026-03-02T00:00:00"/>
        <d v="2026-03-03T00:00:00"/>
        <d v="2026-03-04T00:00:00"/>
        <d v="2026-03-05T00:00:00"/>
        <d v="2026-03-06T00:00:00"/>
        <d v="2026-03-07T00:00:00"/>
        <d v="2026-03-08T00:00:00"/>
        <d v="2026-03-09T00:00:00"/>
        <d v="2026-03-10T00:00:00"/>
        <d v="2026-03-11T00:00:00"/>
        <d v="2026-03-13T00:00:00"/>
        <d v="2026-03-14T00:00:00"/>
        <d v="2026-03-15T00:00:00"/>
        <d v="2026-03-16T00:00:00"/>
        <d v="2026-03-20T00:00:00"/>
        <d v="2026-03-21T00:00:00"/>
        <d v="2026-03-22T00:00:00"/>
        <d v="2026-03-23T00:00:00"/>
        <d v="2026-03-24T00:00:00"/>
        <d v="2026-03-25T00:00:00"/>
        <d v="2026-03-26T00:00:00"/>
        <d v="2026-03-27T00:00:00"/>
        <d v="2026-03-28T00:00:00"/>
        <d v="2026-03-29T00:00:00"/>
        <d v="2026-03-30T00:00:00"/>
        <d v="2026-04-01T00:00:00"/>
      </sharedItems>
      <fieldGroup par="9"/>
    </cacheField>
    <cacheField name="Amount" numFmtId="0">
      <sharedItems containsSemiMixedTypes="0" containsString="0" containsNumber="1" minValue="1" maxValue="5250"/>
    </cacheField>
    <cacheField name="Category" numFmtId="0">
      <sharedItems count="3">
        <s v="Food"/>
        <s v="Travel"/>
        <s v="Shopping"/>
      </sharedItems>
    </cacheField>
    <cacheField name="Sub-Category" numFmtId="0">
      <sharedItems count="4">
        <s v="Snacks"/>
        <s v="Meal"/>
        <s v="Cab"/>
        <s v="Online"/>
      </sharedItems>
    </cacheField>
    <cacheField name="Merchant" numFmtId="0">
      <sharedItems count="4">
        <s v="Local Shop"/>
        <s v="Restaurant"/>
        <s v="Uber"/>
        <s v="Amazon"/>
      </sharedItems>
    </cacheField>
    <cacheField name="Month" numFmtId="0">
      <sharedItems count="4">
        <s v="Jan"/>
        <s v="Feb"/>
        <s v="Mar"/>
        <s v="Apr"/>
      </sharedItems>
    </cacheField>
    <cacheField name="Day Type" numFmtId="0">
      <sharedItems count="2">
        <s v="Weekday"/>
        <s v="Weekend"/>
      </sharedItems>
    </cacheField>
    <cacheField name="Necessity" numFmtId="0">
      <sharedItems count="2">
        <s v="Want"/>
        <s v="Need"/>
      </sharedItems>
    </cacheField>
    <cacheField name="Days (Date)" numFmtId="0" databaseField="0">
      <fieldGroup base="0">
        <rangePr groupBy="days" startDate="2026-01-01T00:00:00" endDate="2026-04-0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6"/>
        </groupItems>
      </fieldGroup>
    </cacheField>
    <cacheField name="Months (Date)" numFmtId="0" databaseField="0">
      <fieldGroup base="0">
        <rangePr groupBy="months" startDate="2026-01-01T00:00:00" endDate="2026-04-02T00:00:00"/>
        <groupItems count="14">
          <s v="&lt;01-01-2026"/>
          <s v="Jan"/>
          <s v="Feb"/>
          <s v="Mar"/>
          <s v="Apr"/>
          <s v="May"/>
          <s v="Jun"/>
          <s v="Jul"/>
          <s v="Aug"/>
          <s v="Sep"/>
          <s v="Oct"/>
          <s v="Nov"/>
          <s v="Dec"/>
          <s v="&gt;02-04-2026"/>
        </groupItems>
      </fieldGroup>
    </cacheField>
  </cacheFields>
  <extLst>
    <ext xmlns:x14="http://schemas.microsoft.com/office/spreadsheetml/2009/9/main" uri="{725AE2AE-9491-48be-B2B4-4EB974FC3084}">
      <x14:pivotCacheDefinition pivotCacheId="2124324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x v="0"/>
    <n v="40"/>
    <x v="0"/>
    <x v="0"/>
    <x v="0"/>
    <x v="0"/>
    <x v="0"/>
    <x v="0"/>
  </r>
  <r>
    <x v="0"/>
    <n v="105"/>
    <x v="0"/>
    <x v="1"/>
    <x v="1"/>
    <x v="0"/>
    <x v="0"/>
    <x v="1"/>
  </r>
  <r>
    <x v="0"/>
    <n v="397"/>
    <x v="1"/>
    <x v="2"/>
    <x v="2"/>
    <x v="0"/>
    <x v="0"/>
    <x v="1"/>
  </r>
  <r>
    <x v="1"/>
    <n v="2500"/>
    <x v="2"/>
    <x v="3"/>
    <x v="3"/>
    <x v="0"/>
    <x v="0"/>
    <x v="0"/>
  </r>
  <r>
    <x v="1"/>
    <n v="1512"/>
    <x v="2"/>
    <x v="3"/>
    <x v="3"/>
    <x v="0"/>
    <x v="0"/>
    <x v="0"/>
  </r>
  <r>
    <x v="1"/>
    <n v="20"/>
    <x v="0"/>
    <x v="0"/>
    <x v="0"/>
    <x v="0"/>
    <x v="0"/>
    <x v="0"/>
  </r>
  <r>
    <x v="2"/>
    <n v="120"/>
    <x v="0"/>
    <x v="1"/>
    <x v="1"/>
    <x v="0"/>
    <x v="1"/>
    <x v="1"/>
  </r>
  <r>
    <x v="3"/>
    <n v="240"/>
    <x v="1"/>
    <x v="2"/>
    <x v="2"/>
    <x v="0"/>
    <x v="1"/>
    <x v="1"/>
  </r>
  <r>
    <x v="3"/>
    <n v="445"/>
    <x v="1"/>
    <x v="2"/>
    <x v="2"/>
    <x v="0"/>
    <x v="1"/>
    <x v="1"/>
  </r>
  <r>
    <x v="3"/>
    <n v="120"/>
    <x v="0"/>
    <x v="1"/>
    <x v="1"/>
    <x v="0"/>
    <x v="1"/>
    <x v="1"/>
  </r>
  <r>
    <x v="4"/>
    <n v="17.7"/>
    <x v="0"/>
    <x v="0"/>
    <x v="0"/>
    <x v="0"/>
    <x v="0"/>
    <x v="0"/>
  </r>
  <r>
    <x v="4"/>
    <n v="70"/>
    <x v="0"/>
    <x v="1"/>
    <x v="1"/>
    <x v="0"/>
    <x v="0"/>
    <x v="1"/>
  </r>
  <r>
    <x v="4"/>
    <n v="195.02"/>
    <x v="0"/>
    <x v="1"/>
    <x v="1"/>
    <x v="0"/>
    <x v="0"/>
    <x v="1"/>
  </r>
  <r>
    <x v="5"/>
    <n v="30"/>
    <x v="0"/>
    <x v="0"/>
    <x v="0"/>
    <x v="0"/>
    <x v="0"/>
    <x v="0"/>
  </r>
  <r>
    <x v="6"/>
    <n v="60"/>
    <x v="0"/>
    <x v="1"/>
    <x v="1"/>
    <x v="0"/>
    <x v="0"/>
    <x v="1"/>
  </r>
  <r>
    <x v="6"/>
    <n v="105"/>
    <x v="0"/>
    <x v="1"/>
    <x v="1"/>
    <x v="0"/>
    <x v="0"/>
    <x v="1"/>
  </r>
  <r>
    <x v="6"/>
    <n v="13"/>
    <x v="0"/>
    <x v="0"/>
    <x v="0"/>
    <x v="0"/>
    <x v="0"/>
    <x v="0"/>
  </r>
  <r>
    <x v="6"/>
    <n v="40"/>
    <x v="0"/>
    <x v="0"/>
    <x v="0"/>
    <x v="0"/>
    <x v="0"/>
    <x v="0"/>
  </r>
  <r>
    <x v="7"/>
    <n v="250"/>
    <x v="1"/>
    <x v="2"/>
    <x v="2"/>
    <x v="0"/>
    <x v="0"/>
    <x v="1"/>
  </r>
  <r>
    <x v="7"/>
    <n v="70"/>
    <x v="0"/>
    <x v="1"/>
    <x v="1"/>
    <x v="0"/>
    <x v="0"/>
    <x v="1"/>
  </r>
  <r>
    <x v="7"/>
    <n v="665"/>
    <x v="2"/>
    <x v="3"/>
    <x v="3"/>
    <x v="0"/>
    <x v="0"/>
    <x v="0"/>
  </r>
  <r>
    <x v="7"/>
    <n v="175"/>
    <x v="0"/>
    <x v="1"/>
    <x v="1"/>
    <x v="0"/>
    <x v="0"/>
    <x v="1"/>
  </r>
  <r>
    <x v="8"/>
    <n v="145"/>
    <x v="0"/>
    <x v="1"/>
    <x v="1"/>
    <x v="0"/>
    <x v="0"/>
    <x v="1"/>
  </r>
  <r>
    <x v="8"/>
    <n v="700"/>
    <x v="2"/>
    <x v="3"/>
    <x v="3"/>
    <x v="0"/>
    <x v="0"/>
    <x v="0"/>
  </r>
  <r>
    <x v="8"/>
    <n v="348.15"/>
    <x v="1"/>
    <x v="2"/>
    <x v="2"/>
    <x v="0"/>
    <x v="0"/>
    <x v="1"/>
  </r>
  <r>
    <x v="8"/>
    <n v="100"/>
    <x v="0"/>
    <x v="1"/>
    <x v="1"/>
    <x v="0"/>
    <x v="0"/>
    <x v="1"/>
  </r>
  <r>
    <x v="8"/>
    <n v="50"/>
    <x v="0"/>
    <x v="1"/>
    <x v="1"/>
    <x v="0"/>
    <x v="0"/>
    <x v="1"/>
  </r>
  <r>
    <x v="8"/>
    <n v="150"/>
    <x v="0"/>
    <x v="1"/>
    <x v="1"/>
    <x v="0"/>
    <x v="0"/>
    <x v="1"/>
  </r>
  <r>
    <x v="8"/>
    <n v="20"/>
    <x v="0"/>
    <x v="0"/>
    <x v="0"/>
    <x v="0"/>
    <x v="0"/>
    <x v="0"/>
  </r>
  <r>
    <x v="9"/>
    <n v="20"/>
    <x v="0"/>
    <x v="0"/>
    <x v="0"/>
    <x v="0"/>
    <x v="1"/>
    <x v="0"/>
  </r>
  <r>
    <x v="9"/>
    <n v="20"/>
    <x v="0"/>
    <x v="0"/>
    <x v="0"/>
    <x v="0"/>
    <x v="1"/>
    <x v="0"/>
  </r>
  <r>
    <x v="9"/>
    <n v="35"/>
    <x v="0"/>
    <x v="0"/>
    <x v="0"/>
    <x v="0"/>
    <x v="1"/>
    <x v="0"/>
  </r>
  <r>
    <x v="9"/>
    <n v="40"/>
    <x v="0"/>
    <x v="0"/>
    <x v="0"/>
    <x v="0"/>
    <x v="1"/>
    <x v="0"/>
  </r>
  <r>
    <x v="9"/>
    <n v="100"/>
    <x v="0"/>
    <x v="1"/>
    <x v="1"/>
    <x v="0"/>
    <x v="1"/>
    <x v="1"/>
  </r>
  <r>
    <x v="10"/>
    <n v="175"/>
    <x v="0"/>
    <x v="1"/>
    <x v="1"/>
    <x v="0"/>
    <x v="1"/>
    <x v="1"/>
  </r>
  <r>
    <x v="11"/>
    <n v="75"/>
    <x v="0"/>
    <x v="1"/>
    <x v="1"/>
    <x v="0"/>
    <x v="0"/>
    <x v="1"/>
  </r>
  <r>
    <x v="11"/>
    <n v="75"/>
    <x v="0"/>
    <x v="1"/>
    <x v="1"/>
    <x v="0"/>
    <x v="0"/>
    <x v="1"/>
  </r>
  <r>
    <x v="12"/>
    <n v="80"/>
    <x v="0"/>
    <x v="1"/>
    <x v="1"/>
    <x v="0"/>
    <x v="0"/>
    <x v="1"/>
  </r>
  <r>
    <x v="13"/>
    <n v="422.25"/>
    <x v="1"/>
    <x v="2"/>
    <x v="2"/>
    <x v="0"/>
    <x v="1"/>
    <x v="1"/>
  </r>
  <r>
    <x v="13"/>
    <n v="75"/>
    <x v="0"/>
    <x v="1"/>
    <x v="1"/>
    <x v="0"/>
    <x v="1"/>
    <x v="1"/>
  </r>
  <r>
    <x v="13"/>
    <n v="50"/>
    <x v="0"/>
    <x v="1"/>
    <x v="1"/>
    <x v="0"/>
    <x v="1"/>
    <x v="1"/>
  </r>
  <r>
    <x v="14"/>
    <n v="26"/>
    <x v="0"/>
    <x v="0"/>
    <x v="0"/>
    <x v="0"/>
    <x v="0"/>
    <x v="0"/>
  </r>
  <r>
    <x v="14"/>
    <n v="60"/>
    <x v="0"/>
    <x v="1"/>
    <x v="1"/>
    <x v="0"/>
    <x v="0"/>
    <x v="1"/>
  </r>
  <r>
    <x v="14"/>
    <n v="35"/>
    <x v="0"/>
    <x v="0"/>
    <x v="0"/>
    <x v="0"/>
    <x v="0"/>
    <x v="0"/>
  </r>
  <r>
    <x v="15"/>
    <n v="40"/>
    <x v="0"/>
    <x v="0"/>
    <x v="0"/>
    <x v="0"/>
    <x v="0"/>
    <x v="0"/>
  </r>
  <r>
    <x v="15"/>
    <n v="250"/>
    <x v="1"/>
    <x v="2"/>
    <x v="2"/>
    <x v="0"/>
    <x v="0"/>
    <x v="1"/>
  </r>
  <r>
    <x v="15"/>
    <n v="90"/>
    <x v="0"/>
    <x v="1"/>
    <x v="1"/>
    <x v="0"/>
    <x v="0"/>
    <x v="1"/>
  </r>
  <r>
    <x v="15"/>
    <n v="320"/>
    <x v="1"/>
    <x v="2"/>
    <x v="2"/>
    <x v="0"/>
    <x v="0"/>
    <x v="1"/>
  </r>
  <r>
    <x v="15"/>
    <n v="50"/>
    <x v="0"/>
    <x v="1"/>
    <x v="1"/>
    <x v="0"/>
    <x v="0"/>
    <x v="1"/>
  </r>
  <r>
    <x v="16"/>
    <n v="20"/>
    <x v="0"/>
    <x v="0"/>
    <x v="0"/>
    <x v="0"/>
    <x v="0"/>
    <x v="0"/>
  </r>
  <r>
    <x v="16"/>
    <n v="40"/>
    <x v="0"/>
    <x v="0"/>
    <x v="0"/>
    <x v="0"/>
    <x v="0"/>
    <x v="0"/>
  </r>
  <r>
    <x v="17"/>
    <n v="157"/>
    <x v="0"/>
    <x v="1"/>
    <x v="1"/>
    <x v="0"/>
    <x v="0"/>
    <x v="1"/>
  </r>
  <r>
    <x v="17"/>
    <n v="20"/>
    <x v="0"/>
    <x v="0"/>
    <x v="0"/>
    <x v="0"/>
    <x v="0"/>
    <x v="0"/>
  </r>
  <r>
    <x v="18"/>
    <n v="100"/>
    <x v="0"/>
    <x v="1"/>
    <x v="1"/>
    <x v="0"/>
    <x v="0"/>
    <x v="1"/>
  </r>
  <r>
    <x v="18"/>
    <n v="969"/>
    <x v="2"/>
    <x v="3"/>
    <x v="3"/>
    <x v="0"/>
    <x v="0"/>
    <x v="0"/>
  </r>
  <r>
    <x v="19"/>
    <n v="260"/>
    <x v="1"/>
    <x v="2"/>
    <x v="2"/>
    <x v="0"/>
    <x v="1"/>
    <x v="1"/>
  </r>
  <r>
    <x v="19"/>
    <n v="581"/>
    <x v="1"/>
    <x v="2"/>
    <x v="2"/>
    <x v="0"/>
    <x v="1"/>
    <x v="1"/>
  </r>
  <r>
    <x v="20"/>
    <n v="240"/>
    <x v="1"/>
    <x v="2"/>
    <x v="2"/>
    <x v="0"/>
    <x v="1"/>
    <x v="1"/>
  </r>
  <r>
    <x v="20"/>
    <n v="40"/>
    <x v="0"/>
    <x v="0"/>
    <x v="0"/>
    <x v="0"/>
    <x v="1"/>
    <x v="0"/>
  </r>
  <r>
    <x v="20"/>
    <n v="80"/>
    <x v="0"/>
    <x v="1"/>
    <x v="1"/>
    <x v="0"/>
    <x v="1"/>
    <x v="1"/>
  </r>
  <r>
    <x v="21"/>
    <n v="300"/>
    <x v="1"/>
    <x v="2"/>
    <x v="2"/>
    <x v="0"/>
    <x v="0"/>
    <x v="1"/>
  </r>
  <r>
    <x v="21"/>
    <n v="30"/>
    <x v="0"/>
    <x v="0"/>
    <x v="0"/>
    <x v="0"/>
    <x v="0"/>
    <x v="0"/>
  </r>
  <r>
    <x v="21"/>
    <n v="70"/>
    <x v="0"/>
    <x v="1"/>
    <x v="1"/>
    <x v="0"/>
    <x v="0"/>
    <x v="1"/>
  </r>
  <r>
    <x v="21"/>
    <n v="120"/>
    <x v="0"/>
    <x v="1"/>
    <x v="1"/>
    <x v="0"/>
    <x v="0"/>
    <x v="1"/>
  </r>
  <r>
    <x v="22"/>
    <n v="80"/>
    <x v="0"/>
    <x v="1"/>
    <x v="1"/>
    <x v="0"/>
    <x v="0"/>
    <x v="1"/>
  </r>
  <r>
    <x v="22"/>
    <n v="110"/>
    <x v="0"/>
    <x v="1"/>
    <x v="1"/>
    <x v="0"/>
    <x v="0"/>
    <x v="1"/>
  </r>
  <r>
    <x v="23"/>
    <n v="70"/>
    <x v="0"/>
    <x v="1"/>
    <x v="1"/>
    <x v="0"/>
    <x v="0"/>
    <x v="1"/>
  </r>
  <r>
    <x v="23"/>
    <n v="17"/>
    <x v="0"/>
    <x v="0"/>
    <x v="0"/>
    <x v="0"/>
    <x v="0"/>
    <x v="0"/>
  </r>
  <r>
    <x v="23"/>
    <n v="185"/>
    <x v="0"/>
    <x v="1"/>
    <x v="1"/>
    <x v="0"/>
    <x v="0"/>
    <x v="1"/>
  </r>
  <r>
    <x v="23"/>
    <n v="30"/>
    <x v="0"/>
    <x v="0"/>
    <x v="0"/>
    <x v="0"/>
    <x v="0"/>
    <x v="0"/>
  </r>
  <r>
    <x v="23"/>
    <n v="20"/>
    <x v="0"/>
    <x v="0"/>
    <x v="0"/>
    <x v="0"/>
    <x v="0"/>
    <x v="0"/>
  </r>
  <r>
    <x v="24"/>
    <n v="190.92"/>
    <x v="0"/>
    <x v="1"/>
    <x v="1"/>
    <x v="0"/>
    <x v="0"/>
    <x v="1"/>
  </r>
  <r>
    <x v="24"/>
    <n v="220"/>
    <x v="1"/>
    <x v="2"/>
    <x v="2"/>
    <x v="0"/>
    <x v="0"/>
    <x v="1"/>
  </r>
  <r>
    <x v="24"/>
    <n v="100"/>
    <x v="0"/>
    <x v="1"/>
    <x v="1"/>
    <x v="0"/>
    <x v="0"/>
    <x v="1"/>
  </r>
  <r>
    <x v="25"/>
    <n v="70"/>
    <x v="0"/>
    <x v="1"/>
    <x v="1"/>
    <x v="0"/>
    <x v="0"/>
    <x v="1"/>
  </r>
  <r>
    <x v="25"/>
    <n v="60"/>
    <x v="0"/>
    <x v="1"/>
    <x v="1"/>
    <x v="0"/>
    <x v="0"/>
    <x v="1"/>
  </r>
  <r>
    <x v="25"/>
    <n v="70"/>
    <x v="0"/>
    <x v="1"/>
    <x v="1"/>
    <x v="0"/>
    <x v="0"/>
    <x v="1"/>
  </r>
  <r>
    <x v="26"/>
    <n v="20"/>
    <x v="0"/>
    <x v="0"/>
    <x v="0"/>
    <x v="0"/>
    <x v="1"/>
    <x v="0"/>
  </r>
  <r>
    <x v="27"/>
    <n v="205"/>
    <x v="1"/>
    <x v="2"/>
    <x v="2"/>
    <x v="1"/>
    <x v="1"/>
    <x v="1"/>
  </r>
  <r>
    <x v="28"/>
    <n v="200"/>
    <x v="1"/>
    <x v="2"/>
    <x v="2"/>
    <x v="1"/>
    <x v="0"/>
    <x v="1"/>
  </r>
  <r>
    <x v="29"/>
    <n v="50"/>
    <x v="0"/>
    <x v="1"/>
    <x v="1"/>
    <x v="1"/>
    <x v="0"/>
    <x v="1"/>
  </r>
  <r>
    <x v="29"/>
    <n v="249"/>
    <x v="1"/>
    <x v="2"/>
    <x v="2"/>
    <x v="1"/>
    <x v="0"/>
    <x v="1"/>
  </r>
  <r>
    <x v="30"/>
    <n v="110"/>
    <x v="0"/>
    <x v="1"/>
    <x v="1"/>
    <x v="1"/>
    <x v="0"/>
    <x v="1"/>
  </r>
  <r>
    <x v="31"/>
    <n v="75"/>
    <x v="0"/>
    <x v="1"/>
    <x v="1"/>
    <x v="1"/>
    <x v="0"/>
    <x v="1"/>
  </r>
  <r>
    <x v="31"/>
    <n v="75"/>
    <x v="0"/>
    <x v="1"/>
    <x v="1"/>
    <x v="1"/>
    <x v="0"/>
    <x v="1"/>
  </r>
  <r>
    <x v="32"/>
    <n v="100"/>
    <x v="0"/>
    <x v="1"/>
    <x v="1"/>
    <x v="1"/>
    <x v="0"/>
    <x v="1"/>
  </r>
  <r>
    <x v="32"/>
    <n v="60"/>
    <x v="0"/>
    <x v="1"/>
    <x v="1"/>
    <x v="1"/>
    <x v="0"/>
    <x v="1"/>
  </r>
  <r>
    <x v="32"/>
    <n v="89"/>
    <x v="0"/>
    <x v="1"/>
    <x v="1"/>
    <x v="1"/>
    <x v="0"/>
    <x v="1"/>
  </r>
  <r>
    <x v="32"/>
    <n v="70"/>
    <x v="0"/>
    <x v="1"/>
    <x v="1"/>
    <x v="1"/>
    <x v="0"/>
    <x v="1"/>
  </r>
  <r>
    <x v="32"/>
    <n v="40"/>
    <x v="0"/>
    <x v="0"/>
    <x v="0"/>
    <x v="1"/>
    <x v="0"/>
    <x v="0"/>
  </r>
  <r>
    <x v="32"/>
    <n v="40"/>
    <x v="0"/>
    <x v="0"/>
    <x v="0"/>
    <x v="1"/>
    <x v="0"/>
    <x v="0"/>
  </r>
  <r>
    <x v="32"/>
    <n v="50"/>
    <x v="0"/>
    <x v="1"/>
    <x v="1"/>
    <x v="1"/>
    <x v="0"/>
    <x v="1"/>
  </r>
  <r>
    <x v="32"/>
    <n v="100"/>
    <x v="0"/>
    <x v="1"/>
    <x v="1"/>
    <x v="1"/>
    <x v="0"/>
    <x v="1"/>
  </r>
  <r>
    <x v="33"/>
    <n v="80"/>
    <x v="0"/>
    <x v="1"/>
    <x v="1"/>
    <x v="1"/>
    <x v="1"/>
    <x v="1"/>
  </r>
  <r>
    <x v="33"/>
    <n v="80"/>
    <x v="0"/>
    <x v="1"/>
    <x v="1"/>
    <x v="1"/>
    <x v="1"/>
    <x v="1"/>
  </r>
  <r>
    <x v="33"/>
    <n v="60"/>
    <x v="0"/>
    <x v="1"/>
    <x v="1"/>
    <x v="1"/>
    <x v="1"/>
    <x v="1"/>
  </r>
  <r>
    <x v="33"/>
    <n v="20"/>
    <x v="0"/>
    <x v="0"/>
    <x v="0"/>
    <x v="1"/>
    <x v="1"/>
    <x v="0"/>
  </r>
  <r>
    <x v="33"/>
    <n v="15"/>
    <x v="0"/>
    <x v="0"/>
    <x v="0"/>
    <x v="1"/>
    <x v="1"/>
    <x v="0"/>
  </r>
  <r>
    <x v="34"/>
    <n v="3"/>
    <x v="0"/>
    <x v="0"/>
    <x v="0"/>
    <x v="1"/>
    <x v="1"/>
    <x v="0"/>
  </r>
  <r>
    <x v="34"/>
    <n v="1003.54"/>
    <x v="2"/>
    <x v="3"/>
    <x v="3"/>
    <x v="1"/>
    <x v="1"/>
    <x v="0"/>
  </r>
  <r>
    <x v="34"/>
    <n v="200"/>
    <x v="1"/>
    <x v="2"/>
    <x v="2"/>
    <x v="1"/>
    <x v="1"/>
    <x v="1"/>
  </r>
  <r>
    <x v="35"/>
    <n v="20"/>
    <x v="0"/>
    <x v="0"/>
    <x v="0"/>
    <x v="1"/>
    <x v="0"/>
    <x v="0"/>
  </r>
  <r>
    <x v="35"/>
    <n v="50"/>
    <x v="0"/>
    <x v="1"/>
    <x v="1"/>
    <x v="1"/>
    <x v="0"/>
    <x v="1"/>
  </r>
  <r>
    <x v="35"/>
    <n v="532"/>
    <x v="1"/>
    <x v="2"/>
    <x v="2"/>
    <x v="1"/>
    <x v="0"/>
    <x v="1"/>
  </r>
  <r>
    <x v="36"/>
    <n v="63"/>
    <x v="0"/>
    <x v="1"/>
    <x v="1"/>
    <x v="1"/>
    <x v="0"/>
    <x v="1"/>
  </r>
  <r>
    <x v="36"/>
    <n v="490"/>
    <x v="1"/>
    <x v="2"/>
    <x v="2"/>
    <x v="1"/>
    <x v="0"/>
    <x v="1"/>
  </r>
  <r>
    <x v="37"/>
    <n v="30"/>
    <x v="0"/>
    <x v="0"/>
    <x v="0"/>
    <x v="1"/>
    <x v="0"/>
    <x v="0"/>
  </r>
  <r>
    <x v="37"/>
    <n v="20"/>
    <x v="0"/>
    <x v="0"/>
    <x v="0"/>
    <x v="1"/>
    <x v="0"/>
    <x v="0"/>
  </r>
  <r>
    <x v="37"/>
    <n v="400"/>
    <x v="1"/>
    <x v="2"/>
    <x v="2"/>
    <x v="1"/>
    <x v="0"/>
    <x v="1"/>
  </r>
  <r>
    <x v="38"/>
    <n v="30"/>
    <x v="0"/>
    <x v="0"/>
    <x v="0"/>
    <x v="1"/>
    <x v="0"/>
    <x v="0"/>
  </r>
  <r>
    <x v="38"/>
    <n v="22"/>
    <x v="0"/>
    <x v="0"/>
    <x v="0"/>
    <x v="1"/>
    <x v="0"/>
    <x v="0"/>
  </r>
  <r>
    <x v="39"/>
    <n v="5"/>
    <x v="0"/>
    <x v="0"/>
    <x v="0"/>
    <x v="1"/>
    <x v="0"/>
    <x v="0"/>
  </r>
  <r>
    <x v="39"/>
    <n v="50"/>
    <x v="0"/>
    <x v="1"/>
    <x v="1"/>
    <x v="1"/>
    <x v="0"/>
    <x v="1"/>
  </r>
  <r>
    <x v="39"/>
    <n v="45"/>
    <x v="0"/>
    <x v="0"/>
    <x v="0"/>
    <x v="1"/>
    <x v="0"/>
    <x v="0"/>
  </r>
  <r>
    <x v="39"/>
    <n v="500"/>
    <x v="1"/>
    <x v="2"/>
    <x v="2"/>
    <x v="1"/>
    <x v="0"/>
    <x v="1"/>
  </r>
  <r>
    <x v="39"/>
    <n v="20"/>
    <x v="0"/>
    <x v="0"/>
    <x v="0"/>
    <x v="1"/>
    <x v="0"/>
    <x v="0"/>
  </r>
  <r>
    <x v="40"/>
    <n v="358"/>
    <x v="1"/>
    <x v="2"/>
    <x v="2"/>
    <x v="1"/>
    <x v="1"/>
    <x v="1"/>
  </r>
  <r>
    <x v="40"/>
    <n v="464"/>
    <x v="1"/>
    <x v="2"/>
    <x v="2"/>
    <x v="1"/>
    <x v="1"/>
    <x v="1"/>
  </r>
  <r>
    <x v="40"/>
    <n v="36"/>
    <x v="0"/>
    <x v="0"/>
    <x v="0"/>
    <x v="1"/>
    <x v="1"/>
    <x v="0"/>
  </r>
  <r>
    <x v="40"/>
    <n v="200"/>
    <x v="1"/>
    <x v="2"/>
    <x v="2"/>
    <x v="1"/>
    <x v="1"/>
    <x v="1"/>
  </r>
  <r>
    <x v="40"/>
    <n v="50"/>
    <x v="0"/>
    <x v="1"/>
    <x v="1"/>
    <x v="1"/>
    <x v="1"/>
    <x v="1"/>
  </r>
  <r>
    <x v="41"/>
    <n v="4"/>
    <x v="0"/>
    <x v="0"/>
    <x v="0"/>
    <x v="1"/>
    <x v="1"/>
    <x v="0"/>
  </r>
  <r>
    <x v="41"/>
    <n v="20"/>
    <x v="0"/>
    <x v="0"/>
    <x v="0"/>
    <x v="1"/>
    <x v="1"/>
    <x v="0"/>
  </r>
  <r>
    <x v="41"/>
    <n v="332"/>
    <x v="1"/>
    <x v="2"/>
    <x v="2"/>
    <x v="1"/>
    <x v="1"/>
    <x v="1"/>
  </r>
  <r>
    <x v="41"/>
    <n v="68"/>
    <x v="0"/>
    <x v="1"/>
    <x v="1"/>
    <x v="1"/>
    <x v="1"/>
    <x v="1"/>
  </r>
  <r>
    <x v="41"/>
    <n v="60"/>
    <x v="0"/>
    <x v="1"/>
    <x v="1"/>
    <x v="1"/>
    <x v="1"/>
    <x v="1"/>
  </r>
  <r>
    <x v="41"/>
    <n v="20"/>
    <x v="0"/>
    <x v="0"/>
    <x v="0"/>
    <x v="1"/>
    <x v="1"/>
    <x v="0"/>
  </r>
  <r>
    <x v="42"/>
    <n v="1"/>
    <x v="0"/>
    <x v="0"/>
    <x v="0"/>
    <x v="1"/>
    <x v="0"/>
    <x v="0"/>
  </r>
  <r>
    <x v="42"/>
    <n v="75"/>
    <x v="0"/>
    <x v="1"/>
    <x v="1"/>
    <x v="1"/>
    <x v="0"/>
    <x v="1"/>
  </r>
  <r>
    <x v="42"/>
    <n v="20"/>
    <x v="0"/>
    <x v="0"/>
    <x v="0"/>
    <x v="1"/>
    <x v="0"/>
    <x v="0"/>
  </r>
  <r>
    <x v="42"/>
    <n v="20"/>
    <x v="0"/>
    <x v="0"/>
    <x v="0"/>
    <x v="1"/>
    <x v="0"/>
    <x v="0"/>
  </r>
  <r>
    <x v="43"/>
    <n v="14"/>
    <x v="0"/>
    <x v="0"/>
    <x v="0"/>
    <x v="1"/>
    <x v="0"/>
    <x v="0"/>
  </r>
  <r>
    <x v="43"/>
    <n v="242"/>
    <x v="1"/>
    <x v="2"/>
    <x v="2"/>
    <x v="1"/>
    <x v="0"/>
    <x v="1"/>
  </r>
  <r>
    <x v="43"/>
    <n v="60"/>
    <x v="0"/>
    <x v="1"/>
    <x v="1"/>
    <x v="1"/>
    <x v="0"/>
    <x v="1"/>
  </r>
  <r>
    <x v="44"/>
    <n v="230"/>
    <x v="1"/>
    <x v="2"/>
    <x v="2"/>
    <x v="1"/>
    <x v="0"/>
    <x v="1"/>
  </r>
  <r>
    <x v="44"/>
    <n v="400"/>
    <x v="1"/>
    <x v="2"/>
    <x v="2"/>
    <x v="1"/>
    <x v="0"/>
    <x v="1"/>
  </r>
  <r>
    <x v="44"/>
    <n v="100"/>
    <x v="0"/>
    <x v="1"/>
    <x v="1"/>
    <x v="1"/>
    <x v="0"/>
    <x v="1"/>
  </r>
  <r>
    <x v="44"/>
    <n v="10"/>
    <x v="0"/>
    <x v="0"/>
    <x v="0"/>
    <x v="1"/>
    <x v="0"/>
    <x v="0"/>
  </r>
  <r>
    <x v="45"/>
    <n v="100"/>
    <x v="0"/>
    <x v="1"/>
    <x v="1"/>
    <x v="1"/>
    <x v="0"/>
    <x v="1"/>
  </r>
  <r>
    <x v="45"/>
    <n v="5250"/>
    <x v="2"/>
    <x v="3"/>
    <x v="3"/>
    <x v="1"/>
    <x v="0"/>
    <x v="0"/>
  </r>
  <r>
    <x v="45"/>
    <n v="380"/>
    <x v="1"/>
    <x v="2"/>
    <x v="2"/>
    <x v="1"/>
    <x v="0"/>
    <x v="1"/>
  </r>
  <r>
    <x v="46"/>
    <n v="263"/>
    <x v="1"/>
    <x v="2"/>
    <x v="2"/>
    <x v="1"/>
    <x v="0"/>
    <x v="1"/>
  </r>
  <r>
    <x v="46"/>
    <n v="50"/>
    <x v="0"/>
    <x v="1"/>
    <x v="1"/>
    <x v="1"/>
    <x v="0"/>
    <x v="1"/>
  </r>
  <r>
    <x v="47"/>
    <n v="20"/>
    <x v="0"/>
    <x v="0"/>
    <x v="0"/>
    <x v="1"/>
    <x v="1"/>
    <x v="0"/>
  </r>
  <r>
    <x v="47"/>
    <n v="94"/>
    <x v="0"/>
    <x v="1"/>
    <x v="1"/>
    <x v="1"/>
    <x v="1"/>
    <x v="1"/>
  </r>
  <r>
    <x v="47"/>
    <n v="141"/>
    <x v="0"/>
    <x v="1"/>
    <x v="1"/>
    <x v="1"/>
    <x v="1"/>
    <x v="1"/>
  </r>
  <r>
    <x v="47"/>
    <n v="30"/>
    <x v="0"/>
    <x v="0"/>
    <x v="0"/>
    <x v="1"/>
    <x v="1"/>
    <x v="0"/>
  </r>
  <r>
    <x v="47"/>
    <n v="110"/>
    <x v="0"/>
    <x v="1"/>
    <x v="1"/>
    <x v="1"/>
    <x v="1"/>
    <x v="1"/>
  </r>
  <r>
    <x v="48"/>
    <n v="10.87"/>
    <x v="0"/>
    <x v="0"/>
    <x v="0"/>
    <x v="1"/>
    <x v="1"/>
    <x v="0"/>
  </r>
  <r>
    <x v="48"/>
    <n v="20"/>
    <x v="0"/>
    <x v="0"/>
    <x v="0"/>
    <x v="1"/>
    <x v="1"/>
    <x v="0"/>
  </r>
  <r>
    <x v="48"/>
    <n v="20"/>
    <x v="0"/>
    <x v="0"/>
    <x v="0"/>
    <x v="1"/>
    <x v="1"/>
    <x v="0"/>
  </r>
  <r>
    <x v="48"/>
    <n v="3"/>
    <x v="0"/>
    <x v="0"/>
    <x v="0"/>
    <x v="1"/>
    <x v="1"/>
    <x v="0"/>
  </r>
  <r>
    <x v="48"/>
    <n v="20"/>
    <x v="0"/>
    <x v="0"/>
    <x v="0"/>
    <x v="1"/>
    <x v="1"/>
    <x v="0"/>
  </r>
  <r>
    <x v="49"/>
    <n v="20"/>
    <x v="0"/>
    <x v="0"/>
    <x v="0"/>
    <x v="1"/>
    <x v="0"/>
    <x v="0"/>
  </r>
  <r>
    <x v="49"/>
    <n v="10"/>
    <x v="0"/>
    <x v="0"/>
    <x v="0"/>
    <x v="1"/>
    <x v="0"/>
    <x v="0"/>
  </r>
  <r>
    <x v="49"/>
    <n v="70"/>
    <x v="0"/>
    <x v="1"/>
    <x v="1"/>
    <x v="1"/>
    <x v="0"/>
    <x v="1"/>
  </r>
  <r>
    <x v="49"/>
    <n v="80"/>
    <x v="0"/>
    <x v="1"/>
    <x v="1"/>
    <x v="1"/>
    <x v="0"/>
    <x v="1"/>
  </r>
  <r>
    <x v="50"/>
    <n v="205"/>
    <x v="1"/>
    <x v="2"/>
    <x v="2"/>
    <x v="1"/>
    <x v="0"/>
    <x v="1"/>
  </r>
  <r>
    <x v="50"/>
    <n v="120"/>
    <x v="0"/>
    <x v="1"/>
    <x v="1"/>
    <x v="1"/>
    <x v="0"/>
    <x v="1"/>
  </r>
  <r>
    <x v="51"/>
    <n v="165"/>
    <x v="0"/>
    <x v="1"/>
    <x v="1"/>
    <x v="1"/>
    <x v="0"/>
    <x v="1"/>
  </r>
  <r>
    <x v="51"/>
    <n v="80"/>
    <x v="0"/>
    <x v="1"/>
    <x v="1"/>
    <x v="1"/>
    <x v="0"/>
    <x v="1"/>
  </r>
  <r>
    <x v="52"/>
    <n v="180"/>
    <x v="0"/>
    <x v="1"/>
    <x v="1"/>
    <x v="1"/>
    <x v="0"/>
    <x v="1"/>
  </r>
  <r>
    <x v="53"/>
    <n v="190.92"/>
    <x v="0"/>
    <x v="1"/>
    <x v="1"/>
    <x v="2"/>
    <x v="1"/>
    <x v="1"/>
  </r>
  <r>
    <x v="53"/>
    <n v="200"/>
    <x v="1"/>
    <x v="2"/>
    <x v="2"/>
    <x v="2"/>
    <x v="1"/>
    <x v="1"/>
  </r>
  <r>
    <x v="53"/>
    <n v="220.62"/>
    <x v="1"/>
    <x v="2"/>
    <x v="2"/>
    <x v="2"/>
    <x v="1"/>
    <x v="1"/>
  </r>
  <r>
    <x v="53"/>
    <n v="210"/>
    <x v="1"/>
    <x v="2"/>
    <x v="2"/>
    <x v="2"/>
    <x v="1"/>
    <x v="1"/>
  </r>
  <r>
    <x v="53"/>
    <n v="20"/>
    <x v="0"/>
    <x v="0"/>
    <x v="0"/>
    <x v="2"/>
    <x v="1"/>
    <x v="0"/>
  </r>
  <r>
    <x v="53"/>
    <n v="10"/>
    <x v="0"/>
    <x v="0"/>
    <x v="0"/>
    <x v="2"/>
    <x v="1"/>
    <x v="0"/>
  </r>
  <r>
    <x v="54"/>
    <n v="1500"/>
    <x v="2"/>
    <x v="3"/>
    <x v="3"/>
    <x v="2"/>
    <x v="0"/>
    <x v="0"/>
  </r>
  <r>
    <x v="54"/>
    <n v="105"/>
    <x v="0"/>
    <x v="1"/>
    <x v="1"/>
    <x v="2"/>
    <x v="0"/>
    <x v="1"/>
  </r>
  <r>
    <x v="54"/>
    <n v="200"/>
    <x v="1"/>
    <x v="2"/>
    <x v="2"/>
    <x v="2"/>
    <x v="0"/>
    <x v="1"/>
  </r>
  <r>
    <x v="54"/>
    <n v="110"/>
    <x v="0"/>
    <x v="1"/>
    <x v="1"/>
    <x v="2"/>
    <x v="0"/>
    <x v="1"/>
  </r>
  <r>
    <x v="55"/>
    <n v="90"/>
    <x v="0"/>
    <x v="1"/>
    <x v="1"/>
    <x v="2"/>
    <x v="0"/>
    <x v="1"/>
  </r>
  <r>
    <x v="55"/>
    <n v="1540"/>
    <x v="2"/>
    <x v="3"/>
    <x v="3"/>
    <x v="2"/>
    <x v="0"/>
    <x v="0"/>
  </r>
  <r>
    <x v="56"/>
    <n v="308"/>
    <x v="1"/>
    <x v="2"/>
    <x v="2"/>
    <x v="2"/>
    <x v="0"/>
    <x v="1"/>
  </r>
  <r>
    <x v="56"/>
    <n v="35"/>
    <x v="0"/>
    <x v="0"/>
    <x v="0"/>
    <x v="2"/>
    <x v="0"/>
    <x v="0"/>
  </r>
  <r>
    <x v="56"/>
    <n v="40"/>
    <x v="0"/>
    <x v="0"/>
    <x v="0"/>
    <x v="2"/>
    <x v="0"/>
    <x v="0"/>
  </r>
  <r>
    <x v="57"/>
    <n v="10"/>
    <x v="0"/>
    <x v="0"/>
    <x v="0"/>
    <x v="2"/>
    <x v="0"/>
    <x v="0"/>
  </r>
  <r>
    <x v="57"/>
    <n v="144"/>
    <x v="0"/>
    <x v="1"/>
    <x v="1"/>
    <x v="2"/>
    <x v="0"/>
    <x v="1"/>
  </r>
  <r>
    <x v="57"/>
    <n v="80"/>
    <x v="0"/>
    <x v="1"/>
    <x v="1"/>
    <x v="2"/>
    <x v="0"/>
    <x v="1"/>
  </r>
  <r>
    <x v="57"/>
    <n v="120"/>
    <x v="0"/>
    <x v="1"/>
    <x v="1"/>
    <x v="2"/>
    <x v="0"/>
    <x v="1"/>
  </r>
  <r>
    <x v="57"/>
    <n v="89.86"/>
    <x v="0"/>
    <x v="1"/>
    <x v="1"/>
    <x v="2"/>
    <x v="0"/>
    <x v="1"/>
  </r>
  <r>
    <x v="58"/>
    <n v="1500"/>
    <x v="2"/>
    <x v="3"/>
    <x v="3"/>
    <x v="2"/>
    <x v="0"/>
    <x v="0"/>
  </r>
  <r>
    <x v="58"/>
    <n v="110"/>
    <x v="0"/>
    <x v="1"/>
    <x v="1"/>
    <x v="2"/>
    <x v="0"/>
    <x v="1"/>
  </r>
  <r>
    <x v="59"/>
    <n v="310"/>
    <x v="1"/>
    <x v="2"/>
    <x v="2"/>
    <x v="2"/>
    <x v="1"/>
    <x v="1"/>
  </r>
  <r>
    <x v="60"/>
    <n v="310"/>
    <x v="1"/>
    <x v="2"/>
    <x v="2"/>
    <x v="2"/>
    <x v="1"/>
    <x v="1"/>
  </r>
  <r>
    <x v="60"/>
    <n v="120"/>
    <x v="0"/>
    <x v="1"/>
    <x v="1"/>
    <x v="2"/>
    <x v="1"/>
    <x v="1"/>
  </r>
  <r>
    <x v="61"/>
    <n v="141"/>
    <x v="0"/>
    <x v="1"/>
    <x v="1"/>
    <x v="2"/>
    <x v="0"/>
    <x v="1"/>
  </r>
  <r>
    <x v="61"/>
    <n v="60"/>
    <x v="0"/>
    <x v="1"/>
    <x v="1"/>
    <x v="2"/>
    <x v="0"/>
    <x v="1"/>
  </r>
  <r>
    <x v="61"/>
    <n v="57"/>
    <x v="0"/>
    <x v="1"/>
    <x v="1"/>
    <x v="2"/>
    <x v="0"/>
    <x v="1"/>
  </r>
  <r>
    <x v="61"/>
    <n v="466"/>
    <x v="1"/>
    <x v="2"/>
    <x v="2"/>
    <x v="2"/>
    <x v="0"/>
    <x v="1"/>
  </r>
  <r>
    <x v="62"/>
    <n v="110"/>
    <x v="0"/>
    <x v="1"/>
    <x v="1"/>
    <x v="2"/>
    <x v="0"/>
    <x v="1"/>
  </r>
  <r>
    <x v="62"/>
    <n v="72"/>
    <x v="0"/>
    <x v="1"/>
    <x v="1"/>
    <x v="2"/>
    <x v="0"/>
    <x v="1"/>
  </r>
  <r>
    <x v="62"/>
    <n v="60"/>
    <x v="0"/>
    <x v="1"/>
    <x v="1"/>
    <x v="2"/>
    <x v="0"/>
    <x v="1"/>
  </r>
  <r>
    <x v="62"/>
    <n v="140"/>
    <x v="0"/>
    <x v="1"/>
    <x v="1"/>
    <x v="2"/>
    <x v="0"/>
    <x v="1"/>
  </r>
  <r>
    <x v="62"/>
    <n v="90"/>
    <x v="0"/>
    <x v="1"/>
    <x v="1"/>
    <x v="2"/>
    <x v="0"/>
    <x v="1"/>
  </r>
  <r>
    <x v="63"/>
    <n v="15"/>
    <x v="0"/>
    <x v="0"/>
    <x v="0"/>
    <x v="2"/>
    <x v="0"/>
    <x v="0"/>
  </r>
  <r>
    <x v="63"/>
    <n v="25"/>
    <x v="0"/>
    <x v="0"/>
    <x v="0"/>
    <x v="2"/>
    <x v="0"/>
    <x v="0"/>
  </r>
  <r>
    <x v="63"/>
    <n v="500"/>
    <x v="1"/>
    <x v="2"/>
    <x v="2"/>
    <x v="2"/>
    <x v="0"/>
    <x v="1"/>
  </r>
  <r>
    <x v="64"/>
    <n v="30"/>
    <x v="0"/>
    <x v="0"/>
    <x v="0"/>
    <x v="2"/>
    <x v="0"/>
    <x v="0"/>
  </r>
  <r>
    <x v="65"/>
    <n v="39.200000000000003"/>
    <x v="0"/>
    <x v="0"/>
    <x v="0"/>
    <x v="2"/>
    <x v="1"/>
    <x v="0"/>
  </r>
  <r>
    <x v="65"/>
    <n v="195"/>
    <x v="0"/>
    <x v="1"/>
    <x v="1"/>
    <x v="2"/>
    <x v="1"/>
    <x v="1"/>
  </r>
  <r>
    <x v="66"/>
    <n v="165"/>
    <x v="0"/>
    <x v="1"/>
    <x v="1"/>
    <x v="2"/>
    <x v="1"/>
    <x v="1"/>
  </r>
  <r>
    <x v="66"/>
    <n v="40"/>
    <x v="0"/>
    <x v="0"/>
    <x v="0"/>
    <x v="2"/>
    <x v="1"/>
    <x v="0"/>
  </r>
  <r>
    <x v="67"/>
    <n v="135"/>
    <x v="0"/>
    <x v="1"/>
    <x v="1"/>
    <x v="2"/>
    <x v="0"/>
    <x v="1"/>
  </r>
  <r>
    <x v="68"/>
    <n v="225"/>
    <x v="1"/>
    <x v="2"/>
    <x v="2"/>
    <x v="2"/>
    <x v="0"/>
    <x v="1"/>
  </r>
  <r>
    <x v="68"/>
    <n v="500"/>
    <x v="1"/>
    <x v="2"/>
    <x v="2"/>
    <x v="2"/>
    <x v="0"/>
    <x v="1"/>
  </r>
  <r>
    <x v="68"/>
    <n v="270"/>
    <x v="1"/>
    <x v="2"/>
    <x v="2"/>
    <x v="2"/>
    <x v="0"/>
    <x v="1"/>
  </r>
  <r>
    <x v="68"/>
    <n v="80"/>
    <x v="0"/>
    <x v="1"/>
    <x v="1"/>
    <x v="2"/>
    <x v="0"/>
    <x v="1"/>
  </r>
  <r>
    <x v="68"/>
    <n v="75"/>
    <x v="0"/>
    <x v="1"/>
    <x v="1"/>
    <x v="2"/>
    <x v="0"/>
    <x v="1"/>
  </r>
  <r>
    <x v="68"/>
    <n v="20"/>
    <x v="0"/>
    <x v="0"/>
    <x v="0"/>
    <x v="2"/>
    <x v="0"/>
    <x v="0"/>
  </r>
  <r>
    <x v="69"/>
    <n v="465"/>
    <x v="1"/>
    <x v="2"/>
    <x v="2"/>
    <x v="2"/>
    <x v="1"/>
    <x v="1"/>
  </r>
  <r>
    <x v="69"/>
    <n v="20"/>
    <x v="0"/>
    <x v="0"/>
    <x v="0"/>
    <x v="2"/>
    <x v="1"/>
    <x v="0"/>
  </r>
  <r>
    <x v="69"/>
    <n v="50"/>
    <x v="0"/>
    <x v="1"/>
    <x v="1"/>
    <x v="2"/>
    <x v="1"/>
    <x v="1"/>
  </r>
  <r>
    <x v="69"/>
    <n v="60"/>
    <x v="0"/>
    <x v="1"/>
    <x v="1"/>
    <x v="2"/>
    <x v="1"/>
    <x v="1"/>
  </r>
  <r>
    <x v="69"/>
    <n v="80"/>
    <x v="0"/>
    <x v="1"/>
    <x v="1"/>
    <x v="2"/>
    <x v="1"/>
    <x v="1"/>
  </r>
  <r>
    <x v="69"/>
    <n v="324"/>
    <x v="1"/>
    <x v="2"/>
    <x v="2"/>
    <x v="2"/>
    <x v="1"/>
    <x v="1"/>
  </r>
  <r>
    <x v="69"/>
    <n v="14"/>
    <x v="0"/>
    <x v="0"/>
    <x v="0"/>
    <x v="2"/>
    <x v="1"/>
    <x v="0"/>
  </r>
  <r>
    <x v="69"/>
    <n v="14"/>
    <x v="0"/>
    <x v="0"/>
    <x v="0"/>
    <x v="2"/>
    <x v="1"/>
    <x v="0"/>
  </r>
  <r>
    <x v="69"/>
    <n v="14"/>
    <x v="0"/>
    <x v="0"/>
    <x v="0"/>
    <x v="2"/>
    <x v="1"/>
    <x v="0"/>
  </r>
  <r>
    <x v="69"/>
    <n v="14"/>
    <x v="0"/>
    <x v="0"/>
    <x v="0"/>
    <x v="2"/>
    <x v="1"/>
    <x v="0"/>
  </r>
  <r>
    <x v="69"/>
    <n v="14"/>
    <x v="0"/>
    <x v="0"/>
    <x v="0"/>
    <x v="2"/>
    <x v="1"/>
    <x v="0"/>
  </r>
  <r>
    <x v="69"/>
    <n v="50"/>
    <x v="0"/>
    <x v="1"/>
    <x v="1"/>
    <x v="2"/>
    <x v="1"/>
    <x v="1"/>
  </r>
  <r>
    <x v="70"/>
    <n v="110"/>
    <x v="0"/>
    <x v="1"/>
    <x v="1"/>
    <x v="2"/>
    <x v="1"/>
    <x v="1"/>
  </r>
  <r>
    <x v="70"/>
    <n v="60"/>
    <x v="0"/>
    <x v="1"/>
    <x v="1"/>
    <x v="2"/>
    <x v="1"/>
    <x v="1"/>
  </r>
  <r>
    <x v="70"/>
    <n v="163"/>
    <x v="0"/>
    <x v="1"/>
    <x v="1"/>
    <x v="2"/>
    <x v="1"/>
    <x v="1"/>
  </r>
  <r>
    <x v="70"/>
    <n v="80"/>
    <x v="0"/>
    <x v="1"/>
    <x v="1"/>
    <x v="2"/>
    <x v="1"/>
    <x v="1"/>
  </r>
  <r>
    <x v="70"/>
    <n v="320"/>
    <x v="1"/>
    <x v="2"/>
    <x v="2"/>
    <x v="2"/>
    <x v="1"/>
    <x v="1"/>
  </r>
  <r>
    <x v="70"/>
    <n v="50"/>
    <x v="0"/>
    <x v="1"/>
    <x v="1"/>
    <x v="2"/>
    <x v="1"/>
    <x v="1"/>
  </r>
  <r>
    <x v="71"/>
    <n v="40"/>
    <x v="0"/>
    <x v="0"/>
    <x v="0"/>
    <x v="2"/>
    <x v="0"/>
    <x v="0"/>
  </r>
  <r>
    <x v="71"/>
    <n v="50"/>
    <x v="0"/>
    <x v="1"/>
    <x v="1"/>
    <x v="2"/>
    <x v="0"/>
    <x v="1"/>
  </r>
  <r>
    <x v="72"/>
    <n v="110"/>
    <x v="0"/>
    <x v="1"/>
    <x v="1"/>
    <x v="2"/>
    <x v="0"/>
    <x v="1"/>
  </r>
  <r>
    <x v="72"/>
    <n v="15"/>
    <x v="0"/>
    <x v="0"/>
    <x v="0"/>
    <x v="2"/>
    <x v="0"/>
    <x v="0"/>
  </r>
  <r>
    <x v="72"/>
    <n v="30"/>
    <x v="0"/>
    <x v="0"/>
    <x v="0"/>
    <x v="2"/>
    <x v="0"/>
    <x v="0"/>
  </r>
  <r>
    <x v="72"/>
    <n v="200"/>
    <x v="1"/>
    <x v="2"/>
    <x v="2"/>
    <x v="2"/>
    <x v="0"/>
    <x v="1"/>
  </r>
  <r>
    <x v="72"/>
    <n v="145"/>
    <x v="0"/>
    <x v="1"/>
    <x v="1"/>
    <x v="2"/>
    <x v="0"/>
    <x v="1"/>
  </r>
  <r>
    <x v="72"/>
    <n v="40"/>
    <x v="0"/>
    <x v="0"/>
    <x v="0"/>
    <x v="2"/>
    <x v="0"/>
    <x v="0"/>
  </r>
  <r>
    <x v="73"/>
    <n v="335"/>
    <x v="1"/>
    <x v="2"/>
    <x v="2"/>
    <x v="2"/>
    <x v="0"/>
    <x v="1"/>
  </r>
  <r>
    <x v="73"/>
    <n v="10"/>
    <x v="0"/>
    <x v="0"/>
    <x v="0"/>
    <x v="2"/>
    <x v="0"/>
    <x v="0"/>
  </r>
  <r>
    <x v="73"/>
    <n v="300"/>
    <x v="1"/>
    <x v="2"/>
    <x v="2"/>
    <x v="2"/>
    <x v="0"/>
    <x v="1"/>
  </r>
  <r>
    <x v="73"/>
    <n v="80"/>
    <x v="0"/>
    <x v="1"/>
    <x v="1"/>
    <x v="2"/>
    <x v="0"/>
    <x v="1"/>
  </r>
  <r>
    <x v="74"/>
    <n v="400"/>
    <x v="1"/>
    <x v="2"/>
    <x v="2"/>
    <x v="2"/>
    <x v="0"/>
    <x v="1"/>
  </r>
  <r>
    <x v="74"/>
    <n v="50"/>
    <x v="0"/>
    <x v="1"/>
    <x v="1"/>
    <x v="2"/>
    <x v="0"/>
    <x v="1"/>
  </r>
  <r>
    <x v="74"/>
    <n v="375"/>
    <x v="1"/>
    <x v="2"/>
    <x v="2"/>
    <x v="2"/>
    <x v="0"/>
    <x v="1"/>
  </r>
  <r>
    <x v="74"/>
    <n v="20"/>
    <x v="0"/>
    <x v="0"/>
    <x v="0"/>
    <x v="2"/>
    <x v="0"/>
    <x v="0"/>
  </r>
  <r>
    <x v="75"/>
    <n v="164"/>
    <x v="0"/>
    <x v="1"/>
    <x v="1"/>
    <x v="2"/>
    <x v="0"/>
    <x v="1"/>
  </r>
  <r>
    <x v="75"/>
    <n v="80"/>
    <x v="0"/>
    <x v="1"/>
    <x v="1"/>
    <x v="2"/>
    <x v="0"/>
    <x v="1"/>
  </r>
  <r>
    <x v="76"/>
    <n v="20"/>
    <x v="0"/>
    <x v="0"/>
    <x v="0"/>
    <x v="2"/>
    <x v="1"/>
    <x v="0"/>
  </r>
  <r>
    <x v="76"/>
    <n v="30"/>
    <x v="0"/>
    <x v="0"/>
    <x v="0"/>
    <x v="2"/>
    <x v="1"/>
    <x v="0"/>
  </r>
  <r>
    <x v="76"/>
    <n v="160"/>
    <x v="0"/>
    <x v="1"/>
    <x v="1"/>
    <x v="2"/>
    <x v="1"/>
    <x v="1"/>
  </r>
  <r>
    <x v="76"/>
    <n v="30"/>
    <x v="0"/>
    <x v="0"/>
    <x v="0"/>
    <x v="2"/>
    <x v="1"/>
    <x v="0"/>
  </r>
  <r>
    <x v="76"/>
    <n v="30"/>
    <x v="0"/>
    <x v="0"/>
    <x v="0"/>
    <x v="2"/>
    <x v="1"/>
    <x v="0"/>
  </r>
  <r>
    <x v="76"/>
    <n v="30"/>
    <x v="0"/>
    <x v="0"/>
    <x v="0"/>
    <x v="2"/>
    <x v="1"/>
    <x v="0"/>
  </r>
  <r>
    <x v="77"/>
    <n v="190.92"/>
    <x v="0"/>
    <x v="1"/>
    <x v="1"/>
    <x v="2"/>
    <x v="1"/>
    <x v="1"/>
  </r>
  <r>
    <x v="77"/>
    <n v="80"/>
    <x v="0"/>
    <x v="1"/>
    <x v="1"/>
    <x v="2"/>
    <x v="1"/>
    <x v="1"/>
  </r>
  <r>
    <x v="78"/>
    <n v="321"/>
    <x v="1"/>
    <x v="2"/>
    <x v="2"/>
    <x v="2"/>
    <x v="0"/>
    <x v="1"/>
  </r>
  <r>
    <x v="78"/>
    <n v="30"/>
    <x v="0"/>
    <x v="0"/>
    <x v="0"/>
    <x v="2"/>
    <x v="0"/>
    <x v="0"/>
  </r>
  <r>
    <x v="78"/>
    <n v="25"/>
    <x v="0"/>
    <x v="0"/>
    <x v="0"/>
    <x v="2"/>
    <x v="0"/>
    <x v="0"/>
  </r>
  <r>
    <x v="79"/>
    <n v="96"/>
    <x v="0"/>
    <x v="1"/>
    <x v="1"/>
    <x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88C57E-1413-4B2E-BC6C-9E4B85A62B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1:F14" firstHeaderRow="1" firstDataRow="1" firstDataCol="1"/>
  <pivotFields count="1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dataField="1" showAll="0"/>
    <pivotField showAll="0">
      <items count="4">
        <item x="0"/>
        <item x="2"/>
        <item x="1"/>
        <item t="default"/>
      </items>
    </pivotField>
    <pivotField showAll="0">
      <items count="5">
        <item x="2"/>
        <item x="1"/>
        <item x="3"/>
        <item x="0"/>
        <item t="default"/>
      </items>
    </pivotField>
    <pivotField showAll="0"/>
    <pivotField showAll="0">
      <items count="5">
        <item x="0"/>
        <item x="1"/>
        <item x="2"/>
        <item x="3"/>
        <item t="default"/>
      </items>
    </pivotField>
    <pivotField showAll="0">
      <items count="3">
        <item x="0"/>
        <item x="1"/>
        <item t="default"/>
      </items>
    </pivotField>
    <pivotField axis="axisRow"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i>
    <i>
      <x v="1"/>
    </i>
    <i t="grand">
      <x/>
    </i>
  </rowItems>
  <colItems count="1">
    <i/>
  </colItems>
  <dataFields count="1">
    <dataField name="Sum of Amount" fld="1" baseField="0" baseItem="0"/>
  </dataFields>
  <chartFormats count="6">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586ED-1D36-4B9C-9B27-FFA8FAD20D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1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dataField="1" showAll="0"/>
    <pivotField showAll="0">
      <items count="4">
        <item x="0"/>
        <item x="2"/>
        <item x="1"/>
        <item t="default"/>
      </items>
    </pivotField>
    <pivotField showAll="0">
      <items count="5">
        <item x="2"/>
        <item x="1"/>
        <item x="3"/>
        <item x="0"/>
        <item t="default"/>
      </items>
    </pivotField>
    <pivotField axis="axisRow" showAll="0">
      <items count="5">
        <item x="3"/>
        <item x="0"/>
        <item x="1"/>
        <item x="2"/>
        <item t="default"/>
      </items>
    </pivotField>
    <pivotField showAll="0">
      <items count="5">
        <item x="0"/>
        <item x="1"/>
        <item x="2"/>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49DBA-CBD0-4428-8A64-5A96001F3A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K15" firstHeaderRow="1" firstDataRow="1" firstDataCol="1"/>
  <pivotFields count="1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axis="axisRow" showAll="0">
      <items count="4">
        <item sd="0" x="0"/>
        <item sd="0" x="2"/>
        <item sd="0" x="1"/>
        <item t="default"/>
      </items>
    </pivotField>
    <pivotField axis="axisRow" showAll="0">
      <items count="5">
        <item x="2"/>
        <item x="1"/>
        <item x="3"/>
        <item x="0"/>
        <item t="default"/>
      </items>
    </pivotField>
    <pivotField showAll="0"/>
    <pivotField showAll="0">
      <items count="5">
        <item x="0"/>
        <item x="1"/>
        <item x="2"/>
        <item x="3"/>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2"/>
    <field x="3"/>
  </rowFields>
  <rowItems count="4">
    <i>
      <x/>
    </i>
    <i>
      <x v="1"/>
    </i>
    <i>
      <x v="2"/>
    </i>
    <i t="grand">
      <x/>
    </i>
  </rowItems>
  <colItems count="1">
    <i/>
  </colItems>
  <dataFields count="1">
    <dataField name="Count of Necessit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F056C-D7F7-4F2E-8385-B4511C5EBA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8" firstHeaderRow="1" firstDataRow="1" firstDataCol="1"/>
  <pivotFields count="1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dataField="1" showAll="0"/>
    <pivotField showAll="0">
      <items count="4">
        <item x="0"/>
        <item x="2"/>
        <item x="1"/>
        <item t="default"/>
      </items>
    </pivotField>
    <pivotField showAll="0">
      <items count="5">
        <item x="2"/>
        <item x="1"/>
        <item x="3"/>
        <item x="0"/>
        <item t="default"/>
      </items>
    </pivotField>
    <pivotField showAll="0"/>
    <pivotField showAll="0">
      <items count="5">
        <item x="0"/>
        <item x="1"/>
        <item x="2"/>
        <item x="3"/>
        <item t="default"/>
      </items>
    </pivotField>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5">
    <i>
      <x v="1"/>
    </i>
    <i>
      <x v="2"/>
    </i>
    <i>
      <x v="3"/>
    </i>
    <i>
      <x v="4"/>
    </i>
    <i t="grand">
      <x/>
    </i>
  </rowItems>
  <colItems count="1">
    <i/>
  </colItems>
  <dataFields count="1">
    <dataField name="Sum of Amount" fld="1"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650B79-C3DC-4141-BC34-82D0329340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7" firstHeaderRow="1" firstDataRow="1" firstDataCol="1"/>
  <pivotFields count="1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dataField="1" showAll="0"/>
    <pivotField axis="axisRow" showAll="0">
      <items count="4">
        <item x="0"/>
        <item x="2"/>
        <item x="1"/>
        <item t="default"/>
      </items>
    </pivotField>
    <pivotField showAll="0"/>
    <pivotField showAll="0"/>
    <pivotField showAll="0">
      <items count="5">
        <item x="0"/>
        <item x="1"/>
        <item x="2"/>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Amount" fld="1" baseField="0" baseItem="0"/>
  </dataFields>
  <chartFormats count="3">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3871C4-568B-44C4-804C-12825C19F4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dataField="1" showAll="0"/>
    <pivotField showAll="0">
      <items count="4">
        <item x="0"/>
        <item x="2"/>
        <item x="1"/>
        <item t="default"/>
      </items>
    </pivotField>
    <pivotField showAll="0">
      <items count="5">
        <item x="2"/>
        <item x="1"/>
        <item x="3"/>
        <item x="0"/>
        <item t="default"/>
      </items>
    </pivotField>
    <pivotField showAll="0">
      <items count="5">
        <item x="3"/>
        <item x="0"/>
        <item x="1"/>
        <item x="2"/>
        <item t="default"/>
      </items>
    </pivotField>
    <pivotField showAll="0">
      <items count="5">
        <item x="0"/>
        <item x="1"/>
        <item x="2"/>
        <item x="3"/>
        <item t="default"/>
      </items>
    </pivotField>
    <pivotField axis="axisRow" showAll="0">
      <items count="3">
        <item x="0"/>
        <item x="1"/>
        <item t="default"/>
      </items>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
    <i>
      <x/>
    </i>
    <i>
      <x v="1"/>
    </i>
    <i t="grand">
      <x/>
    </i>
  </rowItems>
  <colItems count="1">
    <i/>
  </colItems>
  <dataFields count="1">
    <dataField name="Sum of Amount" fld="1" baseField="0" baseItem="0"/>
  </dataFields>
  <chartFormats count="6">
    <chartFormat chart="7"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6" count="1" selected="0">
            <x v="0"/>
          </reference>
        </references>
      </pivotArea>
    </chartFormat>
    <chartFormat chart="10" format="9">
      <pivotArea type="data" outline="0" fieldPosition="0">
        <references count="2">
          <reference field="4294967294" count="1" selected="0">
            <x v="0"/>
          </reference>
          <reference field="6" count="1" selected="0">
            <x v="1"/>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6E482A-DB9A-4491-8E18-42029896FCC8}" sourceName="Category">
  <pivotTables>
    <pivotTable tabId="2" name="PivotTable4"/>
    <pivotTable tabId="2" name="PivotTable1"/>
    <pivotTable tabId="2" name="PivotTable2"/>
    <pivotTable tabId="2" name="PivotTable3"/>
    <pivotTable tabId="2" name="PivotTable5"/>
    <pivotTable tabId="2" name="PivotTable6"/>
  </pivotTables>
  <data>
    <tabular pivotCacheId="212432492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82AB0AF-6702-400B-8C8A-026C83B35CAA}" sourceName="Month">
  <pivotTables>
    <pivotTable tabId="2" name="PivotTable4"/>
    <pivotTable tabId="2" name="PivotTable1"/>
    <pivotTable tabId="2" name="PivotTable2"/>
    <pivotTable tabId="2" name="PivotTable3"/>
    <pivotTable tabId="2" name="PivotTable5"/>
    <pivotTable tabId="2" name="PivotTable6"/>
  </pivotTables>
  <data>
    <tabular pivotCacheId="212432492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28D913E-72EC-42C4-B547-C550702BC82D}" cache="Slicer_Category" caption="Category" rowHeight="234950"/>
  <slicer name="Month" xr10:uid="{04876D43-2B1D-49CB-8ADA-400E464A7B0B}"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7DDEC8B-89FA-442D-A293-6AE906838DE9}" cache="Slicer_Category" caption="Category" rowHeight="234950"/>
  <slicer name="Month 1" xr10:uid="{83A6507E-A130-45E2-8812-DDE06B81C480}"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AD9F7-259F-4FCE-9136-31B33803DF9F}">
  <dimension ref="A3:K16"/>
  <sheetViews>
    <sheetView topLeftCell="B1" workbookViewId="0">
      <selection activeCell="J5" sqref="J5"/>
    </sheetView>
  </sheetViews>
  <sheetFormatPr defaultRowHeight="14.4" x14ac:dyDescent="0.3"/>
  <cols>
    <col min="1" max="1" width="12.5546875" bestFit="1" customWidth="1"/>
    <col min="2" max="2" width="14.44140625" bestFit="1" customWidth="1"/>
    <col min="5" max="5" width="12.5546875" bestFit="1" customWidth="1"/>
    <col min="6" max="6" width="14.44140625" bestFit="1" customWidth="1"/>
    <col min="7" max="7" width="9" bestFit="1" customWidth="1"/>
    <col min="8" max="8" width="10.77734375" bestFit="1" customWidth="1"/>
    <col min="9" max="10" width="12.5546875" bestFit="1" customWidth="1"/>
    <col min="11" max="11" width="16.77734375" bestFit="1" customWidth="1"/>
  </cols>
  <sheetData>
    <row r="3" spans="1:11" x14ac:dyDescent="0.3">
      <c r="A3" s="2" t="s">
        <v>27</v>
      </c>
      <c r="B3" t="s">
        <v>29</v>
      </c>
      <c r="E3" s="2" t="s">
        <v>27</v>
      </c>
      <c r="F3" t="s">
        <v>29</v>
      </c>
      <c r="I3" s="2" t="s">
        <v>27</v>
      </c>
      <c r="J3" t="s">
        <v>29</v>
      </c>
    </row>
    <row r="4" spans="1:11" x14ac:dyDescent="0.3">
      <c r="A4" s="3" t="s">
        <v>12</v>
      </c>
      <c r="B4" s="5">
        <v>35626.65</v>
      </c>
      <c r="E4" s="3" t="s">
        <v>8</v>
      </c>
      <c r="F4" s="5">
        <v>12938.410000000002</v>
      </c>
      <c r="I4" s="3" t="s">
        <v>11</v>
      </c>
      <c r="J4" s="5">
        <v>15011.04</v>
      </c>
    </row>
    <row r="5" spans="1:11" x14ac:dyDescent="0.3">
      <c r="A5" s="3" t="s">
        <v>23</v>
      </c>
      <c r="B5" s="5">
        <v>11334.320000000002</v>
      </c>
      <c r="E5" s="3" t="s">
        <v>20</v>
      </c>
      <c r="F5" s="5">
        <v>17139.54</v>
      </c>
      <c r="I5" s="3" t="s">
        <v>24</v>
      </c>
      <c r="J5" s="5">
        <v>15477.410000000002</v>
      </c>
    </row>
    <row r="6" spans="1:11" x14ac:dyDescent="0.3">
      <c r="A6" s="3" t="s">
        <v>28</v>
      </c>
      <c r="B6" s="5">
        <v>46960.97</v>
      </c>
      <c r="E6" s="3" t="s">
        <v>17</v>
      </c>
      <c r="F6" s="5">
        <v>16883.02</v>
      </c>
      <c r="I6" s="3" t="s">
        <v>25</v>
      </c>
      <c r="J6" s="5">
        <v>16376.52</v>
      </c>
    </row>
    <row r="7" spans="1:11" x14ac:dyDescent="0.3">
      <c r="E7" s="3" t="s">
        <v>28</v>
      </c>
      <c r="F7" s="5">
        <v>46960.97</v>
      </c>
      <c r="I7" s="3" t="s">
        <v>26</v>
      </c>
      <c r="J7" s="5">
        <v>96</v>
      </c>
    </row>
    <row r="8" spans="1:11" x14ac:dyDescent="0.3">
      <c r="I8" s="3" t="s">
        <v>28</v>
      </c>
      <c r="J8" s="5">
        <v>46960.97</v>
      </c>
    </row>
    <row r="11" spans="1:11" x14ac:dyDescent="0.3">
      <c r="A11" s="2" t="s">
        <v>27</v>
      </c>
      <c r="B11" t="s">
        <v>29</v>
      </c>
      <c r="E11" s="2" t="s">
        <v>27</v>
      </c>
      <c r="F11" t="s">
        <v>29</v>
      </c>
      <c r="J11" s="2" t="s">
        <v>27</v>
      </c>
      <c r="K11" t="s">
        <v>30</v>
      </c>
    </row>
    <row r="12" spans="1:11" x14ac:dyDescent="0.3">
      <c r="A12" s="3" t="s">
        <v>22</v>
      </c>
      <c r="B12" s="5">
        <v>17139.54</v>
      </c>
      <c r="E12" s="3" t="s">
        <v>16</v>
      </c>
      <c r="F12" s="5">
        <v>27854.659999999996</v>
      </c>
      <c r="J12" s="3" t="s">
        <v>8</v>
      </c>
      <c r="K12" s="5">
        <v>197</v>
      </c>
    </row>
    <row r="13" spans="1:11" x14ac:dyDescent="0.3">
      <c r="A13" s="3" t="s">
        <v>10</v>
      </c>
      <c r="B13" s="5">
        <v>1966.77</v>
      </c>
      <c r="E13" s="3" t="s">
        <v>13</v>
      </c>
      <c r="F13" s="5">
        <v>19106.310000000001</v>
      </c>
      <c r="J13" s="3" t="s">
        <v>20</v>
      </c>
      <c r="K13" s="5">
        <v>10</v>
      </c>
    </row>
    <row r="14" spans="1:11" x14ac:dyDescent="0.3">
      <c r="A14" s="3" t="s">
        <v>15</v>
      </c>
      <c r="B14" s="5">
        <v>10971.640000000001</v>
      </c>
      <c r="E14" s="3" t="s">
        <v>28</v>
      </c>
      <c r="F14" s="5">
        <v>46960.97</v>
      </c>
      <c r="J14" s="3" t="s">
        <v>17</v>
      </c>
      <c r="K14" s="5">
        <v>52</v>
      </c>
    </row>
    <row r="15" spans="1:11" x14ac:dyDescent="0.3">
      <c r="A15" s="3" t="s">
        <v>19</v>
      </c>
      <c r="B15" s="5">
        <v>16883.02</v>
      </c>
      <c r="J15" s="3" t="s">
        <v>28</v>
      </c>
      <c r="K15" s="5">
        <v>259</v>
      </c>
    </row>
    <row r="16" spans="1:11" x14ac:dyDescent="0.3">
      <c r="A16" s="3" t="s">
        <v>28</v>
      </c>
      <c r="B16" s="5">
        <v>46960.97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0BDD-180F-40BD-946D-B59F6780FB13}">
  <sheetPr codeName="Sheet1"/>
  <dimension ref="A1:P265"/>
  <sheetViews>
    <sheetView topLeftCell="A215" workbookViewId="0">
      <selection activeCell="R15" sqref="R15"/>
    </sheetView>
  </sheetViews>
  <sheetFormatPr defaultRowHeight="14.4" x14ac:dyDescent="0.3"/>
  <cols>
    <col min="1" max="1" width="9.6640625" bestFit="1" customWidth="1"/>
    <col min="2" max="2" width="8" bestFit="1" customWidth="1"/>
    <col min="3" max="3" width="8.33203125" bestFit="1" customWidth="1"/>
    <col min="4" max="4" width="11.88671875" bestFit="1" customWidth="1"/>
    <col min="5" max="5" width="9.88671875" bestFit="1" customWidth="1"/>
    <col min="6" max="6" width="6.44140625" bestFit="1" customWidth="1"/>
    <col min="7" max="7" width="8.6640625" bestFit="1" customWidth="1"/>
    <col min="8" max="8" width="8.77734375" bestFit="1" customWidth="1"/>
    <col min="10" max="12" width="5" bestFit="1" customWidth="1"/>
    <col min="13" max="13" width="3" bestFit="1" customWidth="1"/>
    <col min="14" max="14" width="2" bestFit="1" customWidth="1"/>
    <col min="15" max="15" width="5" bestFit="1" customWidth="1"/>
    <col min="16" max="16" width="3" bestFit="1" customWidth="1"/>
  </cols>
  <sheetData>
    <row r="1" spans="1:13" x14ac:dyDescent="0.3">
      <c r="A1" t="s">
        <v>0</v>
      </c>
      <c r="B1" t="s">
        <v>1</v>
      </c>
      <c r="C1" t="s">
        <v>2</v>
      </c>
      <c r="D1" t="s">
        <v>3</v>
      </c>
      <c r="E1" t="s">
        <v>4</v>
      </c>
      <c r="F1" t="s">
        <v>5</v>
      </c>
      <c r="G1" t="s">
        <v>6</v>
      </c>
      <c r="H1" t="s">
        <v>7</v>
      </c>
    </row>
    <row r="2" spans="1:13" x14ac:dyDescent="0.3">
      <c r="A2" s="1">
        <v>46023</v>
      </c>
      <c r="B2">
        <v>40</v>
      </c>
      <c r="C2" t="s">
        <v>8</v>
      </c>
      <c r="D2" t="s">
        <v>9</v>
      </c>
      <c r="E2" t="s">
        <v>10</v>
      </c>
      <c r="F2" t="s">
        <v>11</v>
      </c>
      <c r="G2" t="s">
        <v>12</v>
      </c>
      <c r="H2" t="s">
        <v>13</v>
      </c>
    </row>
    <row r="3" spans="1:13" x14ac:dyDescent="0.3">
      <c r="A3" s="1">
        <v>46023</v>
      </c>
      <c r="B3">
        <v>105</v>
      </c>
      <c r="C3" t="s">
        <v>8</v>
      </c>
      <c r="D3" t="s">
        <v>14</v>
      </c>
      <c r="E3" t="s">
        <v>15</v>
      </c>
      <c r="F3" t="s">
        <v>11</v>
      </c>
      <c r="G3" t="s">
        <v>12</v>
      </c>
      <c r="H3" t="s">
        <v>16</v>
      </c>
    </row>
    <row r="4" spans="1:13" x14ac:dyDescent="0.3">
      <c r="A4" s="1">
        <v>46023</v>
      </c>
      <c r="B4">
        <v>397</v>
      </c>
      <c r="C4" t="s">
        <v>17</v>
      </c>
      <c r="D4" t="s">
        <v>18</v>
      </c>
      <c r="E4" t="s">
        <v>19</v>
      </c>
      <c r="F4" t="s">
        <v>11</v>
      </c>
      <c r="G4" t="s">
        <v>12</v>
      </c>
      <c r="H4" t="s">
        <v>16</v>
      </c>
      <c r="J4">
        <f>MAX(B2:B260)</f>
        <v>5250</v>
      </c>
    </row>
    <row r="5" spans="1:13" x14ac:dyDescent="0.3">
      <c r="A5" s="1">
        <v>46024</v>
      </c>
      <c r="B5">
        <v>2500</v>
      </c>
      <c r="C5" t="s">
        <v>20</v>
      </c>
      <c r="D5" t="s">
        <v>21</v>
      </c>
      <c r="E5" t="s">
        <v>22</v>
      </c>
      <c r="F5" t="s">
        <v>11</v>
      </c>
      <c r="G5" t="s">
        <v>12</v>
      </c>
      <c r="H5" t="s">
        <v>13</v>
      </c>
      <c r="J5">
        <f>MIN(B2:B260)</f>
        <v>1</v>
      </c>
    </row>
    <row r="6" spans="1:13" x14ac:dyDescent="0.3">
      <c r="A6" s="1">
        <v>46024</v>
      </c>
      <c r="B6">
        <v>1512</v>
      </c>
      <c r="C6" t="s">
        <v>20</v>
      </c>
      <c r="D6" t="s">
        <v>21</v>
      </c>
      <c r="E6" t="s">
        <v>22</v>
      </c>
      <c r="F6" t="s">
        <v>11</v>
      </c>
      <c r="G6" t="s">
        <v>12</v>
      </c>
      <c r="H6" t="s">
        <v>13</v>
      </c>
    </row>
    <row r="7" spans="1:13" x14ac:dyDescent="0.3">
      <c r="A7" s="1">
        <v>46024</v>
      </c>
      <c r="B7">
        <v>20</v>
      </c>
      <c r="C7" t="s">
        <v>8</v>
      </c>
      <c r="D7" t="s">
        <v>9</v>
      </c>
      <c r="E7" t="s">
        <v>10</v>
      </c>
      <c r="F7" t="s">
        <v>11</v>
      </c>
      <c r="G7" t="s">
        <v>12</v>
      </c>
      <c r="H7" t="s">
        <v>13</v>
      </c>
    </row>
    <row r="8" spans="1:13" x14ac:dyDescent="0.3">
      <c r="A8" s="1">
        <v>46025</v>
      </c>
      <c r="B8">
        <v>120</v>
      </c>
      <c r="C8" t="s">
        <v>8</v>
      </c>
      <c r="D8" t="s">
        <v>14</v>
      </c>
      <c r="E8" t="s">
        <v>15</v>
      </c>
      <c r="F8" t="s">
        <v>11</v>
      </c>
      <c r="G8" t="s">
        <v>23</v>
      </c>
      <c r="H8" t="s">
        <v>16</v>
      </c>
      <c r="L8">
        <f>MAX(B2:B79)</f>
        <v>2500</v>
      </c>
    </row>
    <row r="9" spans="1:13" x14ac:dyDescent="0.3">
      <c r="A9" s="1">
        <v>46026</v>
      </c>
      <c r="B9">
        <v>240</v>
      </c>
      <c r="C9" t="s">
        <v>17</v>
      </c>
      <c r="D9" t="s">
        <v>18</v>
      </c>
      <c r="E9" t="s">
        <v>19</v>
      </c>
      <c r="F9" t="s">
        <v>11</v>
      </c>
      <c r="G9" t="s">
        <v>23</v>
      </c>
      <c r="H9" t="s">
        <v>16</v>
      </c>
    </row>
    <row r="10" spans="1:13" x14ac:dyDescent="0.3">
      <c r="A10" s="1">
        <v>46026</v>
      </c>
      <c r="B10">
        <v>445</v>
      </c>
      <c r="C10" t="s">
        <v>17</v>
      </c>
      <c r="D10" t="s">
        <v>18</v>
      </c>
      <c r="E10" t="s">
        <v>19</v>
      </c>
      <c r="F10" t="s">
        <v>11</v>
      </c>
      <c r="G10" t="s">
        <v>23</v>
      </c>
      <c r="H10" t="s">
        <v>16</v>
      </c>
      <c r="M10">
        <f>MIN(B2:B79)</f>
        <v>13</v>
      </c>
    </row>
    <row r="11" spans="1:13" x14ac:dyDescent="0.3">
      <c r="A11" s="1">
        <v>46026</v>
      </c>
      <c r="B11">
        <v>120</v>
      </c>
      <c r="C11" t="s">
        <v>8</v>
      </c>
      <c r="D11" t="s">
        <v>14</v>
      </c>
      <c r="E11" t="s">
        <v>15</v>
      </c>
      <c r="F11" t="s">
        <v>11</v>
      </c>
      <c r="G11" t="s">
        <v>23</v>
      </c>
      <c r="H11" t="s">
        <v>16</v>
      </c>
    </row>
    <row r="12" spans="1:13" x14ac:dyDescent="0.3">
      <c r="A12" s="1">
        <v>46027</v>
      </c>
      <c r="B12">
        <v>17.7</v>
      </c>
      <c r="C12" t="s">
        <v>8</v>
      </c>
      <c r="D12" t="s">
        <v>9</v>
      </c>
      <c r="E12" t="s">
        <v>10</v>
      </c>
      <c r="F12" t="s">
        <v>11</v>
      </c>
      <c r="G12" t="s">
        <v>12</v>
      </c>
      <c r="H12" t="s">
        <v>13</v>
      </c>
    </row>
    <row r="13" spans="1:13" x14ac:dyDescent="0.3">
      <c r="A13" s="1">
        <v>46027</v>
      </c>
      <c r="B13">
        <v>70</v>
      </c>
      <c r="C13" t="s">
        <v>8</v>
      </c>
      <c r="D13" t="s">
        <v>14</v>
      </c>
      <c r="E13" t="s">
        <v>15</v>
      </c>
      <c r="F13" t="s">
        <v>11</v>
      </c>
      <c r="G13" t="s">
        <v>12</v>
      </c>
      <c r="H13" t="s">
        <v>16</v>
      </c>
    </row>
    <row r="14" spans="1:13" x14ac:dyDescent="0.3">
      <c r="A14" s="1">
        <v>46027</v>
      </c>
      <c r="B14">
        <v>195.02</v>
      </c>
      <c r="C14" t="s">
        <v>8</v>
      </c>
      <c r="D14" t="s">
        <v>14</v>
      </c>
      <c r="E14" t="s">
        <v>15</v>
      </c>
      <c r="F14" t="s">
        <v>11</v>
      </c>
      <c r="G14" t="s">
        <v>12</v>
      </c>
      <c r="H14" t="s">
        <v>16</v>
      </c>
    </row>
    <row r="15" spans="1:13" x14ac:dyDescent="0.3">
      <c r="A15" s="1">
        <v>46028</v>
      </c>
      <c r="B15">
        <v>30</v>
      </c>
      <c r="C15" t="s">
        <v>8</v>
      </c>
      <c r="D15" t="s">
        <v>9</v>
      </c>
      <c r="E15" t="s">
        <v>10</v>
      </c>
      <c r="F15" t="s">
        <v>11</v>
      </c>
      <c r="G15" t="s">
        <v>12</v>
      </c>
      <c r="H15" t="s">
        <v>13</v>
      </c>
    </row>
    <row r="16" spans="1:13" x14ac:dyDescent="0.3">
      <c r="A16" s="1">
        <v>46029</v>
      </c>
      <c r="B16">
        <v>60</v>
      </c>
      <c r="C16" t="s">
        <v>8</v>
      </c>
      <c r="D16" t="s">
        <v>14</v>
      </c>
      <c r="E16" t="s">
        <v>15</v>
      </c>
      <c r="F16" t="s">
        <v>11</v>
      </c>
      <c r="G16" t="s">
        <v>12</v>
      </c>
      <c r="H16" t="s">
        <v>16</v>
      </c>
    </row>
    <row r="17" spans="1:8" x14ac:dyDescent="0.3">
      <c r="A17" s="1">
        <v>46029</v>
      </c>
      <c r="B17">
        <v>105</v>
      </c>
      <c r="C17" t="s">
        <v>8</v>
      </c>
      <c r="D17" t="s">
        <v>14</v>
      </c>
      <c r="E17" t="s">
        <v>15</v>
      </c>
      <c r="F17" t="s">
        <v>11</v>
      </c>
      <c r="G17" t="s">
        <v>12</v>
      </c>
      <c r="H17" t="s">
        <v>16</v>
      </c>
    </row>
    <row r="18" spans="1:8" x14ac:dyDescent="0.3">
      <c r="A18" s="1">
        <v>46029</v>
      </c>
      <c r="B18">
        <v>13</v>
      </c>
      <c r="C18" t="s">
        <v>8</v>
      </c>
      <c r="D18" t="s">
        <v>9</v>
      </c>
      <c r="E18" t="s">
        <v>10</v>
      </c>
      <c r="F18" t="s">
        <v>11</v>
      </c>
      <c r="G18" t="s">
        <v>12</v>
      </c>
      <c r="H18" t="s">
        <v>13</v>
      </c>
    </row>
    <row r="19" spans="1:8" x14ac:dyDescent="0.3">
      <c r="A19" s="1">
        <v>46029</v>
      </c>
      <c r="B19">
        <v>40</v>
      </c>
      <c r="C19" t="s">
        <v>8</v>
      </c>
      <c r="D19" t="s">
        <v>9</v>
      </c>
      <c r="E19" t="s">
        <v>10</v>
      </c>
      <c r="F19" t="s">
        <v>11</v>
      </c>
      <c r="G19" t="s">
        <v>12</v>
      </c>
      <c r="H19" t="s">
        <v>13</v>
      </c>
    </row>
    <row r="20" spans="1:8" x14ac:dyDescent="0.3">
      <c r="A20" s="1">
        <v>46030</v>
      </c>
      <c r="B20">
        <v>250</v>
      </c>
      <c r="C20" t="s">
        <v>17</v>
      </c>
      <c r="D20" t="s">
        <v>18</v>
      </c>
      <c r="E20" t="s">
        <v>19</v>
      </c>
      <c r="F20" t="s">
        <v>11</v>
      </c>
      <c r="G20" t="s">
        <v>12</v>
      </c>
      <c r="H20" t="s">
        <v>16</v>
      </c>
    </row>
    <row r="21" spans="1:8" x14ac:dyDescent="0.3">
      <c r="A21" s="1">
        <v>46030</v>
      </c>
      <c r="B21">
        <v>70</v>
      </c>
      <c r="C21" t="s">
        <v>8</v>
      </c>
      <c r="D21" t="s">
        <v>14</v>
      </c>
      <c r="E21" t="s">
        <v>15</v>
      </c>
      <c r="F21" t="s">
        <v>11</v>
      </c>
      <c r="G21" t="s">
        <v>12</v>
      </c>
      <c r="H21" t="s">
        <v>16</v>
      </c>
    </row>
    <row r="22" spans="1:8" x14ac:dyDescent="0.3">
      <c r="A22" s="1">
        <v>46030</v>
      </c>
      <c r="B22">
        <v>665</v>
      </c>
      <c r="C22" t="s">
        <v>20</v>
      </c>
      <c r="D22" t="s">
        <v>21</v>
      </c>
      <c r="E22" t="s">
        <v>22</v>
      </c>
      <c r="F22" t="s">
        <v>11</v>
      </c>
      <c r="G22" t="s">
        <v>12</v>
      </c>
      <c r="H22" t="s">
        <v>13</v>
      </c>
    </row>
    <row r="23" spans="1:8" x14ac:dyDescent="0.3">
      <c r="A23" s="1">
        <v>46030</v>
      </c>
      <c r="B23">
        <v>175</v>
      </c>
      <c r="C23" t="s">
        <v>8</v>
      </c>
      <c r="D23" t="s">
        <v>14</v>
      </c>
      <c r="E23" t="s">
        <v>15</v>
      </c>
      <c r="F23" t="s">
        <v>11</v>
      </c>
      <c r="G23" t="s">
        <v>12</v>
      </c>
      <c r="H23" t="s">
        <v>16</v>
      </c>
    </row>
    <row r="24" spans="1:8" x14ac:dyDescent="0.3">
      <c r="A24" s="1">
        <v>46031</v>
      </c>
      <c r="B24">
        <v>145</v>
      </c>
      <c r="C24" t="s">
        <v>8</v>
      </c>
      <c r="D24" t="s">
        <v>14</v>
      </c>
      <c r="E24" t="s">
        <v>15</v>
      </c>
      <c r="F24" t="s">
        <v>11</v>
      </c>
      <c r="G24" t="s">
        <v>12</v>
      </c>
      <c r="H24" t="s">
        <v>16</v>
      </c>
    </row>
    <row r="25" spans="1:8" x14ac:dyDescent="0.3">
      <c r="A25" s="1">
        <v>46031</v>
      </c>
      <c r="B25">
        <v>700</v>
      </c>
      <c r="C25" t="s">
        <v>20</v>
      </c>
      <c r="D25" t="s">
        <v>21</v>
      </c>
      <c r="E25" t="s">
        <v>22</v>
      </c>
      <c r="F25" t="s">
        <v>11</v>
      </c>
      <c r="G25" t="s">
        <v>12</v>
      </c>
      <c r="H25" t="s">
        <v>13</v>
      </c>
    </row>
    <row r="26" spans="1:8" x14ac:dyDescent="0.3">
      <c r="A26" s="1">
        <v>46031</v>
      </c>
      <c r="B26">
        <v>348.15</v>
      </c>
      <c r="C26" t="s">
        <v>17</v>
      </c>
      <c r="D26" t="s">
        <v>18</v>
      </c>
      <c r="E26" t="s">
        <v>19</v>
      </c>
      <c r="F26" t="s">
        <v>11</v>
      </c>
      <c r="G26" t="s">
        <v>12</v>
      </c>
      <c r="H26" t="s">
        <v>16</v>
      </c>
    </row>
    <row r="27" spans="1:8" x14ac:dyDescent="0.3">
      <c r="A27" s="1">
        <v>46031</v>
      </c>
      <c r="B27">
        <v>100</v>
      </c>
      <c r="C27" t="s">
        <v>8</v>
      </c>
      <c r="D27" t="s">
        <v>14</v>
      </c>
      <c r="E27" t="s">
        <v>15</v>
      </c>
      <c r="F27" t="s">
        <v>11</v>
      </c>
      <c r="G27" t="s">
        <v>12</v>
      </c>
      <c r="H27" t="s">
        <v>16</v>
      </c>
    </row>
    <row r="28" spans="1:8" x14ac:dyDescent="0.3">
      <c r="A28" s="1">
        <v>46031</v>
      </c>
      <c r="B28">
        <v>50</v>
      </c>
      <c r="C28" t="s">
        <v>8</v>
      </c>
      <c r="D28" t="s">
        <v>14</v>
      </c>
      <c r="E28" t="s">
        <v>15</v>
      </c>
      <c r="F28" t="s">
        <v>11</v>
      </c>
      <c r="G28" t="s">
        <v>12</v>
      </c>
      <c r="H28" t="s">
        <v>16</v>
      </c>
    </row>
    <row r="29" spans="1:8" x14ac:dyDescent="0.3">
      <c r="A29" s="1">
        <v>46031</v>
      </c>
      <c r="B29">
        <v>150</v>
      </c>
      <c r="C29" t="s">
        <v>8</v>
      </c>
      <c r="D29" t="s">
        <v>14</v>
      </c>
      <c r="E29" t="s">
        <v>15</v>
      </c>
      <c r="F29" t="s">
        <v>11</v>
      </c>
      <c r="G29" t="s">
        <v>12</v>
      </c>
      <c r="H29" t="s">
        <v>16</v>
      </c>
    </row>
    <row r="30" spans="1:8" x14ac:dyDescent="0.3">
      <c r="A30" s="1">
        <v>46031</v>
      </c>
      <c r="B30">
        <v>20</v>
      </c>
      <c r="C30" t="s">
        <v>8</v>
      </c>
      <c r="D30" t="s">
        <v>9</v>
      </c>
      <c r="E30" t="s">
        <v>10</v>
      </c>
      <c r="F30" t="s">
        <v>11</v>
      </c>
      <c r="G30" t="s">
        <v>12</v>
      </c>
      <c r="H30" t="s">
        <v>13</v>
      </c>
    </row>
    <row r="31" spans="1:8" x14ac:dyDescent="0.3">
      <c r="A31" s="1">
        <v>46032</v>
      </c>
      <c r="B31">
        <v>20</v>
      </c>
      <c r="C31" t="s">
        <v>8</v>
      </c>
      <c r="D31" t="s">
        <v>9</v>
      </c>
      <c r="E31" t="s">
        <v>10</v>
      </c>
      <c r="F31" t="s">
        <v>11</v>
      </c>
      <c r="G31" t="s">
        <v>23</v>
      </c>
      <c r="H31" t="s">
        <v>13</v>
      </c>
    </row>
    <row r="32" spans="1:8" x14ac:dyDescent="0.3">
      <c r="A32" s="1">
        <v>46032</v>
      </c>
      <c r="B32">
        <v>20</v>
      </c>
      <c r="C32" t="s">
        <v>8</v>
      </c>
      <c r="D32" t="s">
        <v>9</v>
      </c>
      <c r="E32" t="s">
        <v>10</v>
      </c>
      <c r="F32" t="s">
        <v>11</v>
      </c>
      <c r="G32" t="s">
        <v>23</v>
      </c>
      <c r="H32" t="s">
        <v>13</v>
      </c>
    </row>
    <row r="33" spans="1:8" x14ac:dyDescent="0.3">
      <c r="A33" s="1">
        <v>46032</v>
      </c>
      <c r="B33">
        <v>35</v>
      </c>
      <c r="C33" t="s">
        <v>8</v>
      </c>
      <c r="D33" t="s">
        <v>9</v>
      </c>
      <c r="E33" t="s">
        <v>10</v>
      </c>
      <c r="F33" t="s">
        <v>11</v>
      </c>
      <c r="G33" t="s">
        <v>23</v>
      </c>
      <c r="H33" t="s">
        <v>13</v>
      </c>
    </row>
    <row r="34" spans="1:8" x14ac:dyDescent="0.3">
      <c r="A34" s="1">
        <v>46032</v>
      </c>
      <c r="B34">
        <v>40</v>
      </c>
      <c r="C34" t="s">
        <v>8</v>
      </c>
      <c r="D34" t="s">
        <v>9</v>
      </c>
      <c r="E34" t="s">
        <v>10</v>
      </c>
      <c r="F34" t="s">
        <v>11</v>
      </c>
      <c r="G34" t="s">
        <v>23</v>
      </c>
      <c r="H34" t="s">
        <v>13</v>
      </c>
    </row>
    <row r="35" spans="1:8" x14ac:dyDescent="0.3">
      <c r="A35" s="1">
        <v>46032</v>
      </c>
      <c r="B35">
        <v>100</v>
      </c>
      <c r="C35" t="s">
        <v>8</v>
      </c>
      <c r="D35" t="s">
        <v>14</v>
      </c>
      <c r="E35" t="s">
        <v>15</v>
      </c>
      <c r="F35" t="s">
        <v>11</v>
      </c>
      <c r="G35" t="s">
        <v>23</v>
      </c>
      <c r="H35" t="s">
        <v>16</v>
      </c>
    </row>
    <row r="36" spans="1:8" x14ac:dyDescent="0.3">
      <c r="A36" s="1">
        <v>46033</v>
      </c>
      <c r="B36">
        <v>175</v>
      </c>
      <c r="C36" t="s">
        <v>8</v>
      </c>
      <c r="D36" t="s">
        <v>14</v>
      </c>
      <c r="E36" t="s">
        <v>15</v>
      </c>
      <c r="F36" t="s">
        <v>11</v>
      </c>
      <c r="G36" t="s">
        <v>23</v>
      </c>
      <c r="H36" t="s">
        <v>16</v>
      </c>
    </row>
    <row r="37" spans="1:8" x14ac:dyDescent="0.3">
      <c r="A37" s="1">
        <v>46037</v>
      </c>
      <c r="B37">
        <v>75</v>
      </c>
      <c r="C37" t="s">
        <v>8</v>
      </c>
      <c r="D37" t="s">
        <v>14</v>
      </c>
      <c r="E37" t="s">
        <v>15</v>
      </c>
      <c r="F37" t="s">
        <v>11</v>
      </c>
      <c r="G37" t="s">
        <v>12</v>
      </c>
      <c r="H37" t="s">
        <v>16</v>
      </c>
    </row>
    <row r="38" spans="1:8" x14ac:dyDescent="0.3">
      <c r="A38" s="1">
        <v>46037</v>
      </c>
      <c r="B38">
        <v>75</v>
      </c>
      <c r="C38" t="s">
        <v>8</v>
      </c>
      <c r="D38" t="s">
        <v>14</v>
      </c>
      <c r="E38" t="s">
        <v>15</v>
      </c>
      <c r="F38" t="s">
        <v>11</v>
      </c>
      <c r="G38" t="s">
        <v>12</v>
      </c>
      <c r="H38" t="s">
        <v>16</v>
      </c>
    </row>
    <row r="39" spans="1:8" x14ac:dyDescent="0.3">
      <c r="A39" s="1">
        <v>46038</v>
      </c>
      <c r="B39">
        <v>80</v>
      </c>
      <c r="C39" t="s">
        <v>8</v>
      </c>
      <c r="D39" t="s">
        <v>14</v>
      </c>
      <c r="E39" t="s">
        <v>15</v>
      </c>
      <c r="F39" t="s">
        <v>11</v>
      </c>
      <c r="G39" t="s">
        <v>12</v>
      </c>
      <c r="H39" t="s">
        <v>16</v>
      </c>
    </row>
    <row r="40" spans="1:8" x14ac:dyDescent="0.3">
      <c r="A40" s="1">
        <v>46039</v>
      </c>
      <c r="B40">
        <v>422.25</v>
      </c>
      <c r="C40" t="s">
        <v>17</v>
      </c>
      <c r="D40" t="s">
        <v>18</v>
      </c>
      <c r="E40" t="s">
        <v>19</v>
      </c>
      <c r="F40" t="s">
        <v>11</v>
      </c>
      <c r="G40" t="s">
        <v>23</v>
      </c>
      <c r="H40" t="s">
        <v>16</v>
      </c>
    </row>
    <row r="41" spans="1:8" x14ac:dyDescent="0.3">
      <c r="A41" s="1">
        <v>46039</v>
      </c>
      <c r="B41">
        <v>75</v>
      </c>
      <c r="C41" t="s">
        <v>8</v>
      </c>
      <c r="D41" t="s">
        <v>14</v>
      </c>
      <c r="E41" t="s">
        <v>15</v>
      </c>
      <c r="F41" t="s">
        <v>11</v>
      </c>
      <c r="G41" t="s">
        <v>23</v>
      </c>
      <c r="H41" t="s">
        <v>16</v>
      </c>
    </row>
    <row r="42" spans="1:8" x14ac:dyDescent="0.3">
      <c r="A42" s="1">
        <v>46039</v>
      </c>
      <c r="B42">
        <v>50</v>
      </c>
      <c r="C42" t="s">
        <v>8</v>
      </c>
      <c r="D42" t="s">
        <v>14</v>
      </c>
      <c r="E42" t="s">
        <v>15</v>
      </c>
      <c r="F42" t="s">
        <v>11</v>
      </c>
      <c r="G42" t="s">
        <v>23</v>
      </c>
      <c r="H42" t="s">
        <v>16</v>
      </c>
    </row>
    <row r="43" spans="1:8" x14ac:dyDescent="0.3">
      <c r="A43" s="1">
        <v>46041</v>
      </c>
      <c r="B43">
        <v>26</v>
      </c>
      <c r="C43" t="s">
        <v>8</v>
      </c>
      <c r="D43" t="s">
        <v>9</v>
      </c>
      <c r="E43" t="s">
        <v>10</v>
      </c>
      <c r="F43" t="s">
        <v>11</v>
      </c>
      <c r="G43" t="s">
        <v>12</v>
      </c>
      <c r="H43" t="s">
        <v>13</v>
      </c>
    </row>
    <row r="44" spans="1:8" x14ac:dyDescent="0.3">
      <c r="A44" s="1">
        <v>46041</v>
      </c>
      <c r="B44">
        <v>60</v>
      </c>
      <c r="C44" t="s">
        <v>8</v>
      </c>
      <c r="D44" t="s">
        <v>14</v>
      </c>
      <c r="E44" t="s">
        <v>15</v>
      </c>
      <c r="F44" t="s">
        <v>11</v>
      </c>
      <c r="G44" t="s">
        <v>12</v>
      </c>
      <c r="H44" t="s">
        <v>16</v>
      </c>
    </row>
    <row r="45" spans="1:8" x14ac:dyDescent="0.3">
      <c r="A45" s="1">
        <v>46041</v>
      </c>
      <c r="B45">
        <v>35</v>
      </c>
      <c r="C45" t="s">
        <v>8</v>
      </c>
      <c r="D45" t="s">
        <v>9</v>
      </c>
      <c r="E45" t="s">
        <v>10</v>
      </c>
      <c r="F45" t="s">
        <v>11</v>
      </c>
      <c r="G45" t="s">
        <v>12</v>
      </c>
      <c r="H45" t="s">
        <v>13</v>
      </c>
    </row>
    <row r="46" spans="1:8" x14ac:dyDescent="0.3">
      <c r="A46" s="1">
        <v>46042</v>
      </c>
      <c r="B46">
        <v>40</v>
      </c>
      <c r="C46" t="s">
        <v>8</v>
      </c>
      <c r="D46" t="s">
        <v>9</v>
      </c>
      <c r="E46" t="s">
        <v>10</v>
      </c>
      <c r="F46" t="s">
        <v>11</v>
      </c>
      <c r="G46" t="s">
        <v>12</v>
      </c>
      <c r="H46" t="s">
        <v>13</v>
      </c>
    </row>
    <row r="47" spans="1:8" x14ac:dyDescent="0.3">
      <c r="A47" s="1">
        <v>46042</v>
      </c>
      <c r="B47">
        <v>250</v>
      </c>
      <c r="C47" t="s">
        <v>17</v>
      </c>
      <c r="D47" t="s">
        <v>18</v>
      </c>
      <c r="E47" t="s">
        <v>19</v>
      </c>
      <c r="F47" t="s">
        <v>11</v>
      </c>
      <c r="G47" t="s">
        <v>12</v>
      </c>
      <c r="H47" t="s">
        <v>16</v>
      </c>
    </row>
    <row r="48" spans="1:8" x14ac:dyDescent="0.3">
      <c r="A48" s="1">
        <v>46042</v>
      </c>
      <c r="B48">
        <v>90</v>
      </c>
      <c r="C48" t="s">
        <v>8</v>
      </c>
      <c r="D48" t="s">
        <v>14</v>
      </c>
      <c r="E48" t="s">
        <v>15</v>
      </c>
      <c r="F48" t="s">
        <v>11</v>
      </c>
      <c r="G48" t="s">
        <v>12</v>
      </c>
      <c r="H48" t="s">
        <v>16</v>
      </c>
    </row>
    <row r="49" spans="1:8" x14ac:dyDescent="0.3">
      <c r="A49" s="1">
        <v>46042</v>
      </c>
      <c r="B49">
        <v>320</v>
      </c>
      <c r="C49" t="s">
        <v>17</v>
      </c>
      <c r="D49" t="s">
        <v>18</v>
      </c>
      <c r="E49" t="s">
        <v>19</v>
      </c>
      <c r="F49" t="s">
        <v>11</v>
      </c>
      <c r="G49" t="s">
        <v>12</v>
      </c>
      <c r="H49" t="s">
        <v>16</v>
      </c>
    </row>
    <row r="50" spans="1:8" x14ac:dyDescent="0.3">
      <c r="A50" s="1">
        <v>46042</v>
      </c>
      <c r="B50">
        <v>50</v>
      </c>
      <c r="C50" t="s">
        <v>8</v>
      </c>
      <c r="D50" t="s">
        <v>14</v>
      </c>
      <c r="E50" t="s">
        <v>15</v>
      </c>
      <c r="F50" t="s">
        <v>11</v>
      </c>
      <c r="G50" t="s">
        <v>12</v>
      </c>
      <c r="H50" t="s">
        <v>16</v>
      </c>
    </row>
    <row r="51" spans="1:8" x14ac:dyDescent="0.3">
      <c r="A51" s="1">
        <v>46043</v>
      </c>
      <c r="B51">
        <v>20</v>
      </c>
      <c r="C51" t="s">
        <v>8</v>
      </c>
      <c r="D51" t="s">
        <v>9</v>
      </c>
      <c r="E51" t="s">
        <v>10</v>
      </c>
      <c r="F51" t="s">
        <v>11</v>
      </c>
      <c r="G51" t="s">
        <v>12</v>
      </c>
      <c r="H51" t="s">
        <v>13</v>
      </c>
    </row>
    <row r="52" spans="1:8" x14ac:dyDescent="0.3">
      <c r="A52" s="1">
        <v>46043</v>
      </c>
      <c r="B52">
        <v>40</v>
      </c>
      <c r="C52" t="s">
        <v>8</v>
      </c>
      <c r="D52" t="s">
        <v>9</v>
      </c>
      <c r="E52" t="s">
        <v>10</v>
      </c>
      <c r="F52" t="s">
        <v>11</v>
      </c>
      <c r="G52" t="s">
        <v>12</v>
      </c>
      <c r="H52" t="s">
        <v>13</v>
      </c>
    </row>
    <row r="53" spans="1:8" x14ac:dyDescent="0.3">
      <c r="A53" s="1">
        <v>46044</v>
      </c>
      <c r="B53">
        <v>157</v>
      </c>
      <c r="C53" t="s">
        <v>8</v>
      </c>
      <c r="D53" t="s">
        <v>14</v>
      </c>
      <c r="E53" t="s">
        <v>15</v>
      </c>
      <c r="F53" t="s">
        <v>11</v>
      </c>
      <c r="G53" t="s">
        <v>12</v>
      </c>
      <c r="H53" t="s">
        <v>16</v>
      </c>
    </row>
    <row r="54" spans="1:8" x14ac:dyDescent="0.3">
      <c r="A54" s="1">
        <v>46044</v>
      </c>
      <c r="B54">
        <v>20</v>
      </c>
      <c r="C54" t="s">
        <v>8</v>
      </c>
      <c r="D54" t="s">
        <v>9</v>
      </c>
      <c r="E54" t="s">
        <v>10</v>
      </c>
      <c r="F54" t="s">
        <v>11</v>
      </c>
      <c r="G54" t="s">
        <v>12</v>
      </c>
      <c r="H54" t="s">
        <v>13</v>
      </c>
    </row>
    <row r="55" spans="1:8" x14ac:dyDescent="0.3">
      <c r="A55" s="1">
        <v>46045</v>
      </c>
      <c r="B55">
        <v>100</v>
      </c>
      <c r="C55" t="s">
        <v>8</v>
      </c>
      <c r="D55" t="s">
        <v>14</v>
      </c>
      <c r="E55" t="s">
        <v>15</v>
      </c>
      <c r="F55" t="s">
        <v>11</v>
      </c>
      <c r="G55" t="s">
        <v>12</v>
      </c>
      <c r="H55" t="s">
        <v>16</v>
      </c>
    </row>
    <row r="56" spans="1:8" x14ac:dyDescent="0.3">
      <c r="A56" s="1">
        <v>46045</v>
      </c>
      <c r="B56">
        <v>969</v>
      </c>
      <c r="C56" t="s">
        <v>20</v>
      </c>
      <c r="D56" t="s">
        <v>21</v>
      </c>
      <c r="E56" t="s">
        <v>22</v>
      </c>
      <c r="F56" t="s">
        <v>11</v>
      </c>
      <c r="G56" t="s">
        <v>12</v>
      </c>
      <c r="H56" t="s">
        <v>13</v>
      </c>
    </row>
    <row r="57" spans="1:8" x14ac:dyDescent="0.3">
      <c r="A57" s="1">
        <v>46046</v>
      </c>
      <c r="B57">
        <v>260</v>
      </c>
      <c r="C57" t="s">
        <v>17</v>
      </c>
      <c r="D57" t="s">
        <v>18</v>
      </c>
      <c r="E57" t="s">
        <v>19</v>
      </c>
      <c r="F57" t="s">
        <v>11</v>
      </c>
      <c r="G57" t="s">
        <v>23</v>
      </c>
      <c r="H57" t="s">
        <v>16</v>
      </c>
    </row>
    <row r="58" spans="1:8" x14ac:dyDescent="0.3">
      <c r="A58" s="1">
        <v>46046</v>
      </c>
      <c r="B58">
        <v>581</v>
      </c>
      <c r="C58" t="s">
        <v>17</v>
      </c>
      <c r="D58" t="s">
        <v>18</v>
      </c>
      <c r="E58" t="s">
        <v>19</v>
      </c>
      <c r="F58" t="s">
        <v>11</v>
      </c>
      <c r="G58" t="s">
        <v>23</v>
      </c>
      <c r="H58" t="s">
        <v>16</v>
      </c>
    </row>
    <row r="59" spans="1:8" x14ac:dyDescent="0.3">
      <c r="A59" s="1">
        <v>46047</v>
      </c>
      <c r="B59">
        <v>240</v>
      </c>
      <c r="C59" t="s">
        <v>17</v>
      </c>
      <c r="D59" t="s">
        <v>18</v>
      </c>
      <c r="E59" t="s">
        <v>19</v>
      </c>
      <c r="F59" t="s">
        <v>11</v>
      </c>
      <c r="G59" t="s">
        <v>23</v>
      </c>
      <c r="H59" t="s">
        <v>16</v>
      </c>
    </row>
    <row r="60" spans="1:8" x14ac:dyDescent="0.3">
      <c r="A60" s="1">
        <v>46047</v>
      </c>
      <c r="B60">
        <v>40</v>
      </c>
      <c r="C60" t="s">
        <v>8</v>
      </c>
      <c r="D60" t="s">
        <v>9</v>
      </c>
      <c r="E60" t="s">
        <v>10</v>
      </c>
      <c r="F60" t="s">
        <v>11</v>
      </c>
      <c r="G60" t="s">
        <v>23</v>
      </c>
      <c r="H60" t="s">
        <v>13</v>
      </c>
    </row>
    <row r="61" spans="1:8" x14ac:dyDescent="0.3">
      <c r="A61" s="1">
        <v>46047</v>
      </c>
      <c r="B61">
        <v>80</v>
      </c>
      <c r="C61" t="s">
        <v>8</v>
      </c>
      <c r="D61" t="s">
        <v>14</v>
      </c>
      <c r="E61" t="s">
        <v>15</v>
      </c>
      <c r="F61" t="s">
        <v>11</v>
      </c>
      <c r="G61" t="s">
        <v>23</v>
      </c>
      <c r="H61" t="s">
        <v>16</v>
      </c>
    </row>
    <row r="62" spans="1:8" x14ac:dyDescent="0.3">
      <c r="A62" s="1">
        <v>46048</v>
      </c>
      <c r="B62">
        <v>300</v>
      </c>
      <c r="C62" t="s">
        <v>17</v>
      </c>
      <c r="D62" t="s">
        <v>18</v>
      </c>
      <c r="E62" t="s">
        <v>19</v>
      </c>
      <c r="F62" t="s">
        <v>11</v>
      </c>
      <c r="G62" t="s">
        <v>12</v>
      </c>
      <c r="H62" t="s">
        <v>16</v>
      </c>
    </row>
    <row r="63" spans="1:8" x14ac:dyDescent="0.3">
      <c r="A63" s="1">
        <v>46048</v>
      </c>
      <c r="B63">
        <v>30</v>
      </c>
      <c r="C63" t="s">
        <v>8</v>
      </c>
      <c r="D63" t="s">
        <v>9</v>
      </c>
      <c r="E63" t="s">
        <v>10</v>
      </c>
      <c r="F63" t="s">
        <v>11</v>
      </c>
      <c r="G63" t="s">
        <v>12</v>
      </c>
      <c r="H63" t="s">
        <v>13</v>
      </c>
    </row>
    <row r="64" spans="1:8" x14ac:dyDescent="0.3">
      <c r="A64" s="1">
        <v>46048</v>
      </c>
      <c r="B64">
        <v>70</v>
      </c>
      <c r="C64" t="s">
        <v>8</v>
      </c>
      <c r="D64" t="s">
        <v>14</v>
      </c>
      <c r="E64" t="s">
        <v>15</v>
      </c>
      <c r="F64" t="s">
        <v>11</v>
      </c>
      <c r="G64" t="s">
        <v>12</v>
      </c>
      <c r="H64" t="s">
        <v>16</v>
      </c>
    </row>
    <row r="65" spans="1:11" x14ac:dyDescent="0.3">
      <c r="A65" s="1">
        <v>46048</v>
      </c>
      <c r="B65">
        <v>120</v>
      </c>
      <c r="C65" t="s">
        <v>8</v>
      </c>
      <c r="D65" t="s">
        <v>14</v>
      </c>
      <c r="E65" t="s">
        <v>15</v>
      </c>
      <c r="F65" t="s">
        <v>11</v>
      </c>
      <c r="G65" t="s">
        <v>12</v>
      </c>
      <c r="H65" t="s">
        <v>16</v>
      </c>
    </row>
    <row r="66" spans="1:11" x14ac:dyDescent="0.3">
      <c r="A66" s="1">
        <v>46049</v>
      </c>
      <c r="B66">
        <v>80</v>
      </c>
      <c r="C66" t="s">
        <v>8</v>
      </c>
      <c r="D66" t="s">
        <v>14</v>
      </c>
      <c r="E66" t="s">
        <v>15</v>
      </c>
      <c r="F66" t="s">
        <v>11</v>
      </c>
      <c r="G66" t="s">
        <v>12</v>
      </c>
      <c r="H66" t="s">
        <v>16</v>
      </c>
    </row>
    <row r="67" spans="1:11" x14ac:dyDescent="0.3">
      <c r="A67" s="1">
        <v>46049</v>
      </c>
      <c r="B67">
        <v>110</v>
      </c>
      <c r="C67" t="s">
        <v>8</v>
      </c>
      <c r="D67" t="s">
        <v>14</v>
      </c>
      <c r="E67" t="s">
        <v>15</v>
      </c>
      <c r="F67" t="s">
        <v>11</v>
      </c>
      <c r="G67" t="s">
        <v>12</v>
      </c>
      <c r="H67" t="s">
        <v>16</v>
      </c>
    </row>
    <row r="68" spans="1:11" x14ac:dyDescent="0.3">
      <c r="A68" s="1">
        <v>46050</v>
      </c>
      <c r="B68">
        <v>70</v>
      </c>
      <c r="C68" t="s">
        <v>8</v>
      </c>
      <c r="D68" t="s">
        <v>14</v>
      </c>
      <c r="E68" t="s">
        <v>15</v>
      </c>
      <c r="F68" t="s">
        <v>11</v>
      </c>
      <c r="G68" t="s">
        <v>12</v>
      </c>
      <c r="H68" t="s">
        <v>16</v>
      </c>
      <c r="K68">
        <f>MAX(B80:B163)</f>
        <v>5250</v>
      </c>
    </row>
    <row r="69" spans="1:11" x14ac:dyDescent="0.3">
      <c r="A69" s="1">
        <v>46050</v>
      </c>
      <c r="B69">
        <v>17</v>
      </c>
      <c r="C69" t="s">
        <v>8</v>
      </c>
      <c r="D69" t="s">
        <v>9</v>
      </c>
      <c r="E69" t="s">
        <v>10</v>
      </c>
      <c r="F69" t="s">
        <v>11</v>
      </c>
      <c r="G69" t="s">
        <v>12</v>
      </c>
      <c r="H69" t="s">
        <v>13</v>
      </c>
    </row>
    <row r="70" spans="1:11" x14ac:dyDescent="0.3">
      <c r="A70" s="1">
        <v>46050</v>
      </c>
      <c r="B70">
        <v>185</v>
      </c>
      <c r="C70" t="s">
        <v>8</v>
      </c>
      <c r="D70" t="s">
        <v>14</v>
      </c>
      <c r="E70" t="s">
        <v>15</v>
      </c>
      <c r="F70" t="s">
        <v>11</v>
      </c>
      <c r="G70" t="s">
        <v>12</v>
      </c>
      <c r="H70" t="s">
        <v>16</v>
      </c>
    </row>
    <row r="71" spans="1:11" x14ac:dyDescent="0.3">
      <c r="A71" s="1">
        <v>46050</v>
      </c>
      <c r="B71">
        <v>30</v>
      </c>
      <c r="C71" t="s">
        <v>8</v>
      </c>
      <c r="D71" t="s">
        <v>9</v>
      </c>
      <c r="E71" t="s">
        <v>10</v>
      </c>
      <c r="F71" t="s">
        <v>11</v>
      </c>
      <c r="G71" t="s">
        <v>12</v>
      </c>
      <c r="H71" t="s">
        <v>13</v>
      </c>
    </row>
    <row r="72" spans="1:11" x14ac:dyDescent="0.3">
      <c r="A72" s="1">
        <v>46050</v>
      </c>
      <c r="B72">
        <v>20</v>
      </c>
      <c r="C72" t="s">
        <v>8</v>
      </c>
      <c r="D72" t="s">
        <v>9</v>
      </c>
      <c r="E72" t="s">
        <v>10</v>
      </c>
      <c r="F72" t="s">
        <v>11</v>
      </c>
      <c r="G72" t="s">
        <v>12</v>
      </c>
      <c r="H72" t="s">
        <v>13</v>
      </c>
    </row>
    <row r="73" spans="1:11" x14ac:dyDescent="0.3">
      <c r="A73" s="1">
        <v>46051</v>
      </c>
      <c r="B73">
        <v>190.92</v>
      </c>
      <c r="C73" t="s">
        <v>8</v>
      </c>
      <c r="D73" t="s">
        <v>14</v>
      </c>
      <c r="E73" t="s">
        <v>15</v>
      </c>
      <c r="F73" t="s">
        <v>11</v>
      </c>
      <c r="G73" t="s">
        <v>12</v>
      </c>
      <c r="H73" t="s">
        <v>16</v>
      </c>
    </row>
    <row r="74" spans="1:11" x14ac:dyDescent="0.3">
      <c r="A74" s="1">
        <v>46051</v>
      </c>
      <c r="B74">
        <v>220</v>
      </c>
      <c r="C74" t="s">
        <v>17</v>
      </c>
      <c r="D74" t="s">
        <v>18</v>
      </c>
      <c r="E74" t="s">
        <v>19</v>
      </c>
      <c r="F74" t="s">
        <v>11</v>
      </c>
      <c r="G74" t="s">
        <v>12</v>
      </c>
      <c r="H74" t="s">
        <v>16</v>
      </c>
    </row>
    <row r="75" spans="1:11" x14ac:dyDescent="0.3">
      <c r="A75" s="1">
        <v>46051</v>
      </c>
      <c r="B75">
        <v>100</v>
      </c>
      <c r="C75" t="s">
        <v>8</v>
      </c>
      <c r="D75" t="s">
        <v>14</v>
      </c>
      <c r="E75" t="s">
        <v>15</v>
      </c>
      <c r="F75" t="s">
        <v>11</v>
      </c>
      <c r="G75" t="s">
        <v>12</v>
      </c>
      <c r="H75" t="s">
        <v>16</v>
      </c>
    </row>
    <row r="76" spans="1:11" x14ac:dyDescent="0.3">
      <c r="A76" s="1">
        <v>46052</v>
      </c>
      <c r="B76">
        <v>70</v>
      </c>
      <c r="C76" t="s">
        <v>8</v>
      </c>
      <c r="D76" t="s">
        <v>14</v>
      </c>
      <c r="E76" t="s">
        <v>15</v>
      </c>
      <c r="F76" t="s">
        <v>11</v>
      </c>
      <c r="G76" t="s">
        <v>12</v>
      </c>
      <c r="H76" t="s">
        <v>16</v>
      </c>
    </row>
    <row r="77" spans="1:11" x14ac:dyDescent="0.3">
      <c r="A77" s="1">
        <v>46052</v>
      </c>
      <c r="B77">
        <v>60</v>
      </c>
      <c r="C77" t="s">
        <v>8</v>
      </c>
      <c r="D77" t="s">
        <v>14</v>
      </c>
      <c r="E77" t="s">
        <v>15</v>
      </c>
      <c r="F77" t="s">
        <v>11</v>
      </c>
      <c r="G77" t="s">
        <v>12</v>
      </c>
      <c r="H77" t="s">
        <v>16</v>
      </c>
    </row>
    <row r="78" spans="1:11" x14ac:dyDescent="0.3">
      <c r="A78" s="1">
        <v>46052</v>
      </c>
      <c r="B78">
        <v>70</v>
      </c>
      <c r="C78" t="s">
        <v>8</v>
      </c>
      <c r="D78" t="s">
        <v>14</v>
      </c>
      <c r="E78" t="s">
        <v>15</v>
      </c>
      <c r="F78" t="s">
        <v>11</v>
      </c>
      <c r="G78" t="s">
        <v>12</v>
      </c>
      <c r="H78" t="s">
        <v>16</v>
      </c>
    </row>
    <row r="79" spans="1:11" x14ac:dyDescent="0.3">
      <c r="A79" s="1">
        <v>46053</v>
      </c>
      <c r="B79">
        <v>20</v>
      </c>
      <c r="C79" t="s">
        <v>8</v>
      </c>
      <c r="D79" t="s">
        <v>9</v>
      </c>
      <c r="E79" t="s">
        <v>10</v>
      </c>
      <c r="F79" t="s">
        <v>11</v>
      </c>
      <c r="G79" t="s">
        <v>23</v>
      </c>
      <c r="H79" t="s">
        <v>13</v>
      </c>
    </row>
    <row r="80" spans="1:11" x14ac:dyDescent="0.3">
      <c r="A80" s="1">
        <v>46054</v>
      </c>
      <c r="B80">
        <v>205</v>
      </c>
      <c r="C80" t="s">
        <v>17</v>
      </c>
      <c r="D80" t="s">
        <v>18</v>
      </c>
      <c r="E80" t="s">
        <v>19</v>
      </c>
      <c r="F80" t="s">
        <v>24</v>
      </c>
      <c r="G80" t="s">
        <v>23</v>
      </c>
      <c r="H80" t="s">
        <v>16</v>
      </c>
    </row>
    <row r="81" spans="1:16" x14ac:dyDescent="0.3">
      <c r="A81" s="1">
        <v>46055</v>
      </c>
      <c r="B81">
        <v>200</v>
      </c>
      <c r="C81" t="s">
        <v>17</v>
      </c>
      <c r="D81" t="s">
        <v>18</v>
      </c>
      <c r="E81" t="s">
        <v>19</v>
      </c>
      <c r="F81" t="s">
        <v>24</v>
      </c>
      <c r="G81" t="s">
        <v>12</v>
      </c>
      <c r="H81" t="s">
        <v>16</v>
      </c>
    </row>
    <row r="82" spans="1:16" x14ac:dyDescent="0.3">
      <c r="A82" s="1">
        <v>46056</v>
      </c>
      <c r="B82">
        <v>50</v>
      </c>
      <c r="C82" t="s">
        <v>8</v>
      </c>
      <c r="D82" t="s">
        <v>14</v>
      </c>
      <c r="E82" t="s">
        <v>15</v>
      </c>
      <c r="F82" t="s">
        <v>24</v>
      </c>
      <c r="G82" t="s">
        <v>12</v>
      </c>
      <c r="H82" t="s">
        <v>16</v>
      </c>
      <c r="N82">
        <f>MIN(B80:B163)</f>
        <v>1</v>
      </c>
    </row>
    <row r="83" spans="1:16" x14ac:dyDescent="0.3">
      <c r="A83" s="1">
        <v>46056</v>
      </c>
      <c r="B83">
        <v>249</v>
      </c>
      <c r="C83" t="s">
        <v>17</v>
      </c>
      <c r="D83" t="s">
        <v>18</v>
      </c>
      <c r="E83" t="s">
        <v>19</v>
      </c>
      <c r="F83" t="s">
        <v>24</v>
      </c>
      <c r="G83" t="s">
        <v>12</v>
      </c>
      <c r="H83" t="s">
        <v>16</v>
      </c>
    </row>
    <row r="84" spans="1:16" x14ac:dyDescent="0.3">
      <c r="A84" s="1">
        <v>46057</v>
      </c>
      <c r="B84">
        <v>110</v>
      </c>
      <c r="C84" t="s">
        <v>8</v>
      </c>
      <c r="D84" t="s">
        <v>14</v>
      </c>
      <c r="E84" t="s">
        <v>15</v>
      </c>
      <c r="F84" t="s">
        <v>24</v>
      </c>
      <c r="G84" t="s">
        <v>12</v>
      </c>
      <c r="H84" t="s">
        <v>16</v>
      </c>
    </row>
    <row r="85" spans="1:16" x14ac:dyDescent="0.3">
      <c r="A85" s="1">
        <v>46058</v>
      </c>
      <c r="B85">
        <v>75</v>
      </c>
      <c r="C85" t="s">
        <v>8</v>
      </c>
      <c r="D85" t="s">
        <v>14</v>
      </c>
      <c r="E85" t="s">
        <v>15</v>
      </c>
      <c r="F85" t="s">
        <v>24</v>
      </c>
      <c r="G85" t="s">
        <v>12</v>
      </c>
      <c r="H85" t="s">
        <v>16</v>
      </c>
    </row>
    <row r="86" spans="1:16" x14ac:dyDescent="0.3">
      <c r="A86" s="1">
        <v>46058</v>
      </c>
      <c r="B86">
        <v>75</v>
      </c>
      <c r="C86" t="s">
        <v>8</v>
      </c>
      <c r="D86" t="s">
        <v>14</v>
      </c>
      <c r="E86" t="s">
        <v>15</v>
      </c>
      <c r="F86" t="s">
        <v>24</v>
      </c>
      <c r="G86" t="s">
        <v>12</v>
      </c>
      <c r="H86" t="s">
        <v>16</v>
      </c>
    </row>
    <row r="87" spans="1:16" x14ac:dyDescent="0.3">
      <c r="A87" s="1">
        <v>46059</v>
      </c>
      <c r="B87">
        <v>100</v>
      </c>
      <c r="C87" t="s">
        <v>8</v>
      </c>
      <c r="D87" t="s">
        <v>14</v>
      </c>
      <c r="E87" t="s">
        <v>15</v>
      </c>
      <c r="F87" t="s">
        <v>24</v>
      </c>
      <c r="G87" t="s">
        <v>12</v>
      </c>
      <c r="H87" t="s">
        <v>16</v>
      </c>
    </row>
    <row r="88" spans="1:16" x14ac:dyDescent="0.3">
      <c r="A88" s="1">
        <v>46059</v>
      </c>
      <c r="B88">
        <v>60</v>
      </c>
      <c r="C88" t="s">
        <v>8</v>
      </c>
      <c r="D88" t="s">
        <v>14</v>
      </c>
      <c r="E88" t="s">
        <v>15</v>
      </c>
      <c r="F88" t="s">
        <v>24</v>
      </c>
      <c r="G88" t="s">
        <v>12</v>
      </c>
      <c r="H88" t="s">
        <v>16</v>
      </c>
      <c r="P88">
        <f>MIN(B164:B259)</f>
        <v>10</v>
      </c>
    </row>
    <row r="89" spans="1:16" x14ac:dyDescent="0.3">
      <c r="A89" s="1">
        <v>46059</v>
      </c>
      <c r="B89">
        <v>89</v>
      </c>
      <c r="C89" t="s">
        <v>8</v>
      </c>
      <c r="D89" t="s">
        <v>14</v>
      </c>
      <c r="E89" t="s">
        <v>15</v>
      </c>
      <c r="F89" t="s">
        <v>24</v>
      </c>
      <c r="G89" t="s">
        <v>12</v>
      </c>
      <c r="H89" t="s">
        <v>16</v>
      </c>
    </row>
    <row r="90" spans="1:16" x14ac:dyDescent="0.3">
      <c r="A90" s="1">
        <v>46059</v>
      </c>
      <c r="B90">
        <v>70</v>
      </c>
      <c r="C90" t="s">
        <v>8</v>
      </c>
      <c r="D90" t="s">
        <v>14</v>
      </c>
      <c r="E90" t="s">
        <v>15</v>
      </c>
      <c r="F90" t="s">
        <v>24</v>
      </c>
      <c r="G90" t="s">
        <v>12</v>
      </c>
      <c r="H90" t="s">
        <v>16</v>
      </c>
    </row>
    <row r="91" spans="1:16" x14ac:dyDescent="0.3">
      <c r="A91" s="1">
        <v>46059</v>
      </c>
      <c r="B91">
        <v>40</v>
      </c>
      <c r="C91" t="s">
        <v>8</v>
      </c>
      <c r="D91" t="s">
        <v>9</v>
      </c>
      <c r="E91" t="s">
        <v>10</v>
      </c>
      <c r="F91" t="s">
        <v>24</v>
      </c>
      <c r="G91" t="s">
        <v>12</v>
      </c>
      <c r="H91" t="s">
        <v>13</v>
      </c>
    </row>
    <row r="92" spans="1:16" x14ac:dyDescent="0.3">
      <c r="A92" s="1">
        <v>46059</v>
      </c>
      <c r="B92">
        <v>40</v>
      </c>
      <c r="C92" t="s">
        <v>8</v>
      </c>
      <c r="D92" t="s">
        <v>9</v>
      </c>
      <c r="E92" t="s">
        <v>10</v>
      </c>
      <c r="F92" t="s">
        <v>24</v>
      </c>
      <c r="G92" t="s">
        <v>12</v>
      </c>
      <c r="H92" t="s">
        <v>13</v>
      </c>
    </row>
    <row r="93" spans="1:16" x14ac:dyDescent="0.3">
      <c r="A93" s="1">
        <v>46059</v>
      </c>
      <c r="B93">
        <v>50</v>
      </c>
      <c r="C93" t="s">
        <v>8</v>
      </c>
      <c r="D93" t="s">
        <v>14</v>
      </c>
      <c r="E93" t="s">
        <v>15</v>
      </c>
      <c r="F93" t="s">
        <v>24</v>
      </c>
      <c r="G93" t="s">
        <v>12</v>
      </c>
      <c r="H93" t="s">
        <v>16</v>
      </c>
    </row>
    <row r="94" spans="1:16" x14ac:dyDescent="0.3">
      <c r="A94" s="1">
        <v>46059</v>
      </c>
      <c r="B94">
        <v>100</v>
      </c>
      <c r="C94" t="s">
        <v>8</v>
      </c>
      <c r="D94" t="s">
        <v>14</v>
      </c>
      <c r="E94" t="s">
        <v>15</v>
      </c>
      <c r="F94" t="s">
        <v>24</v>
      </c>
      <c r="G94" t="s">
        <v>12</v>
      </c>
      <c r="H94" t="s">
        <v>16</v>
      </c>
    </row>
    <row r="95" spans="1:16" x14ac:dyDescent="0.3">
      <c r="A95" s="1">
        <v>46060</v>
      </c>
      <c r="B95">
        <v>80</v>
      </c>
      <c r="C95" t="s">
        <v>8</v>
      </c>
      <c r="D95" t="s">
        <v>14</v>
      </c>
      <c r="E95" t="s">
        <v>15</v>
      </c>
      <c r="F95" t="s">
        <v>24</v>
      </c>
      <c r="G95" t="s">
        <v>23</v>
      </c>
      <c r="H95" t="s">
        <v>16</v>
      </c>
    </row>
    <row r="96" spans="1:16" x14ac:dyDescent="0.3">
      <c r="A96" s="1">
        <v>46060</v>
      </c>
      <c r="B96">
        <v>80</v>
      </c>
      <c r="C96" t="s">
        <v>8</v>
      </c>
      <c r="D96" t="s">
        <v>14</v>
      </c>
      <c r="E96" t="s">
        <v>15</v>
      </c>
      <c r="F96" t="s">
        <v>24</v>
      </c>
      <c r="G96" t="s">
        <v>23</v>
      </c>
      <c r="H96" t="s">
        <v>16</v>
      </c>
    </row>
    <row r="97" spans="1:15" x14ac:dyDescent="0.3">
      <c r="A97" s="1">
        <v>46060</v>
      </c>
      <c r="B97">
        <v>60</v>
      </c>
      <c r="C97" t="s">
        <v>8</v>
      </c>
      <c r="D97" t="s">
        <v>14</v>
      </c>
      <c r="E97" t="s">
        <v>15</v>
      </c>
      <c r="F97" t="s">
        <v>24</v>
      </c>
      <c r="G97" t="s">
        <v>23</v>
      </c>
      <c r="H97" t="s">
        <v>16</v>
      </c>
    </row>
    <row r="98" spans="1:15" x14ac:dyDescent="0.3">
      <c r="A98" s="1">
        <v>46060</v>
      </c>
      <c r="B98">
        <v>20</v>
      </c>
      <c r="C98" t="s">
        <v>8</v>
      </c>
      <c r="D98" t="s">
        <v>9</v>
      </c>
      <c r="E98" t="s">
        <v>10</v>
      </c>
      <c r="F98" t="s">
        <v>24</v>
      </c>
      <c r="G98" t="s">
        <v>23</v>
      </c>
      <c r="H98" t="s">
        <v>13</v>
      </c>
    </row>
    <row r="99" spans="1:15" x14ac:dyDescent="0.3">
      <c r="A99" s="1">
        <v>46060</v>
      </c>
      <c r="B99">
        <v>15</v>
      </c>
      <c r="C99" t="s">
        <v>8</v>
      </c>
      <c r="D99" t="s">
        <v>9</v>
      </c>
      <c r="E99" t="s">
        <v>10</v>
      </c>
      <c r="F99" t="s">
        <v>24</v>
      </c>
      <c r="G99" t="s">
        <v>23</v>
      </c>
      <c r="H99" t="s">
        <v>13</v>
      </c>
    </row>
    <row r="100" spans="1:15" x14ac:dyDescent="0.3">
      <c r="A100" s="1">
        <v>46061</v>
      </c>
      <c r="B100">
        <v>3</v>
      </c>
      <c r="C100" t="s">
        <v>8</v>
      </c>
      <c r="D100" t="s">
        <v>9</v>
      </c>
      <c r="E100" t="s">
        <v>10</v>
      </c>
      <c r="F100" t="s">
        <v>24</v>
      </c>
      <c r="G100" t="s">
        <v>23</v>
      </c>
      <c r="H100" t="s">
        <v>13</v>
      </c>
    </row>
    <row r="101" spans="1:15" x14ac:dyDescent="0.3">
      <c r="A101" s="1">
        <v>46061</v>
      </c>
      <c r="B101">
        <v>1003.54</v>
      </c>
      <c r="C101" t="s">
        <v>20</v>
      </c>
      <c r="D101" t="s">
        <v>21</v>
      </c>
      <c r="E101" t="s">
        <v>22</v>
      </c>
      <c r="F101" t="s">
        <v>24</v>
      </c>
      <c r="G101" t="s">
        <v>23</v>
      </c>
      <c r="H101" t="s">
        <v>13</v>
      </c>
      <c r="O101">
        <f>MAX(B1:B261)</f>
        <v>5250</v>
      </c>
    </row>
    <row r="102" spans="1:15" x14ac:dyDescent="0.3">
      <c r="A102" s="1">
        <v>46061</v>
      </c>
      <c r="B102">
        <v>200</v>
      </c>
      <c r="C102" t="s">
        <v>17</v>
      </c>
      <c r="D102" t="s">
        <v>18</v>
      </c>
      <c r="E102" t="s">
        <v>19</v>
      </c>
      <c r="F102" t="s">
        <v>24</v>
      </c>
      <c r="G102" t="s">
        <v>23</v>
      </c>
      <c r="H102" t="s">
        <v>16</v>
      </c>
    </row>
    <row r="103" spans="1:15" x14ac:dyDescent="0.3">
      <c r="A103" s="1">
        <v>46062</v>
      </c>
      <c r="B103">
        <v>20</v>
      </c>
      <c r="C103" t="s">
        <v>8</v>
      </c>
      <c r="D103" t="s">
        <v>9</v>
      </c>
      <c r="E103" t="s">
        <v>10</v>
      </c>
      <c r="F103" t="s">
        <v>24</v>
      </c>
      <c r="G103" t="s">
        <v>12</v>
      </c>
      <c r="H103" t="s">
        <v>13</v>
      </c>
    </row>
    <row r="104" spans="1:15" x14ac:dyDescent="0.3">
      <c r="A104" s="1">
        <v>46062</v>
      </c>
      <c r="B104">
        <v>50</v>
      </c>
      <c r="C104" t="s">
        <v>8</v>
      </c>
      <c r="D104" t="s">
        <v>14</v>
      </c>
      <c r="E104" t="s">
        <v>15</v>
      </c>
      <c r="F104" t="s">
        <v>24</v>
      </c>
      <c r="G104" t="s">
        <v>12</v>
      </c>
      <c r="H104" t="s">
        <v>16</v>
      </c>
    </row>
    <row r="105" spans="1:15" x14ac:dyDescent="0.3">
      <c r="A105" s="1">
        <v>46062</v>
      </c>
      <c r="B105">
        <v>532</v>
      </c>
      <c r="C105" t="s">
        <v>17</v>
      </c>
      <c r="D105" t="s">
        <v>18</v>
      </c>
      <c r="E105" t="s">
        <v>19</v>
      </c>
      <c r="F105" t="s">
        <v>24</v>
      </c>
      <c r="G105" t="s">
        <v>12</v>
      </c>
      <c r="H105" t="s">
        <v>16</v>
      </c>
    </row>
    <row r="106" spans="1:15" x14ac:dyDescent="0.3">
      <c r="A106" s="1">
        <v>46063</v>
      </c>
      <c r="B106">
        <v>63</v>
      </c>
      <c r="C106" t="s">
        <v>8</v>
      </c>
      <c r="D106" t="s">
        <v>14</v>
      </c>
      <c r="E106" t="s">
        <v>15</v>
      </c>
      <c r="F106" t="s">
        <v>24</v>
      </c>
      <c r="G106" t="s">
        <v>12</v>
      </c>
      <c r="H106" t="s">
        <v>16</v>
      </c>
    </row>
    <row r="107" spans="1:15" x14ac:dyDescent="0.3">
      <c r="A107" s="1">
        <v>46063</v>
      </c>
      <c r="B107">
        <v>490</v>
      </c>
      <c r="C107" t="s">
        <v>17</v>
      </c>
      <c r="D107" t="s">
        <v>18</v>
      </c>
      <c r="E107" t="s">
        <v>19</v>
      </c>
      <c r="F107" t="s">
        <v>24</v>
      </c>
      <c r="G107" t="s">
        <v>12</v>
      </c>
      <c r="H107" t="s">
        <v>16</v>
      </c>
    </row>
    <row r="108" spans="1:15" x14ac:dyDescent="0.3">
      <c r="A108" s="1">
        <v>46064</v>
      </c>
      <c r="B108">
        <v>30</v>
      </c>
      <c r="C108" t="s">
        <v>8</v>
      </c>
      <c r="D108" t="s">
        <v>9</v>
      </c>
      <c r="E108" t="s">
        <v>10</v>
      </c>
      <c r="F108" t="s">
        <v>24</v>
      </c>
      <c r="G108" t="s">
        <v>12</v>
      </c>
      <c r="H108" t="s">
        <v>13</v>
      </c>
    </row>
    <row r="109" spans="1:15" x14ac:dyDescent="0.3">
      <c r="A109" s="1">
        <v>46064</v>
      </c>
      <c r="B109">
        <v>20</v>
      </c>
      <c r="C109" t="s">
        <v>8</v>
      </c>
      <c r="D109" t="s">
        <v>9</v>
      </c>
      <c r="E109" t="s">
        <v>10</v>
      </c>
      <c r="F109" t="s">
        <v>24</v>
      </c>
      <c r="G109" t="s">
        <v>12</v>
      </c>
      <c r="H109" t="s">
        <v>13</v>
      </c>
    </row>
    <row r="110" spans="1:15" x14ac:dyDescent="0.3">
      <c r="A110" s="1">
        <v>46064</v>
      </c>
      <c r="B110">
        <v>400</v>
      </c>
      <c r="C110" t="s">
        <v>17</v>
      </c>
      <c r="D110" t="s">
        <v>18</v>
      </c>
      <c r="E110" t="s">
        <v>19</v>
      </c>
      <c r="F110" t="s">
        <v>24</v>
      </c>
      <c r="G110" t="s">
        <v>12</v>
      </c>
      <c r="H110" t="s">
        <v>16</v>
      </c>
    </row>
    <row r="111" spans="1:15" x14ac:dyDescent="0.3">
      <c r="A111" s="1">
        <v>46065</v>
      </c>
      <c r="B111">
        <v>30</v>
      </c>
      <c r="C111" t="s">
        <v>8</v>
      </c>
      <c r="D111" t="s">
        <v>9</v>
      </c>
      <c r="E111" t="s">
        <v>10</v>
      </c>
      <c r="F111" t="s">
        <v>24</v>
      </c>
      <c r="G111" t="s">
        <v>12</v>
      </c>
      <c r="H111" t="s">
        <v>13</v>
      </c>
    </row>
    <row r="112" spans="1:15" x14ac:dyDescent="0.3">
      <c r="A112" s="1">
        <v>46065</v>
      </c>
      <c r="B112">
        <v>22</v>
      </c>
      <c r="C112" t="s">
        <v>8</v>
      </c>
      <c r="D112" t="s">
        <v>9</v>
      </c>
      <c r="E112" t="s">
        <v>10</v>
      </c>
      <c r="F112" t="s">
        <v>24</v>
      </c>
      <c r="G112" t="s">
        <v>12</v>
      </c>
      <c r="H112" t="s">
        <v>13</v>
      </c>
    </row>
    <row r="113" spans="1:8" x14ac:dyDescent="0.3">
      <c r="A113" s="1">
        <v>46066</v>
      </c>
      <c r="B113">
        <v>5</v>
      </c>
      <c r="C113" t="s">
        <v>8</v>
      </c>
      <c r="D113" t="s">
        <v>9</v>
      </c>
      <c r="E113" t="s">
        <v>10</v>
      </c>
      <c r="F113" t="s">
        <v>24</v>
      </c>
      <c r="G113" t="s">
        <v>12</v>
      </c>
      <c r="H113" t="s">
        <v>13</v>
      </c>
    </row>
    <row r="114" spans="1:8" x14ac:dyDescent="0.3">
      <c r="A114" s="1">
        <v>46066</v>
      </c>
      <c r="B114">
        <v>50</v>
      </c>
      <c r="C114" t="s">
        <v>8</v>
      </c>
      <c r="D114" t="s">
        <v>14</v>
      </c>
      <c r="E114" t="s">
        <v>15</v>
      </c>
      <c r="F114" t="s">
        <v>24</v>
      </c>
      <c r="G114" t="s">
        <v>12</v>
      </c>
      <c r="H114" t="s">
        <v>16</v>
      </c>
    </row>
    <row r="115" spans="1:8" x14ac:dyDescent="0.3">
      <c r="A115" s="1">
        <v>46066</v>
      </c>
      <c r="B115">
        <v>45</v>
      </c>
      <c r="C115" t="s">
        <v>8</v>
      </c>
      <c r="D115" t="s">
        <v>9</v>
      </c>
      <c r="E115" t="s">
        <v>10</v>
      </c>
      <c r="F115" t="s">
        <v>24</v>
      </c>
      <c r="G115" t="s">
        <v>12</v>
      </c>
      <c r="H115" t="s">
        <v>13</v>
      </c>
    </row>
    <row r="116" spans="1:8" x14ac:dyDescent="0.3">
      <c r="A116" s="1">
        <v>46066</v>
      </c>
      <c r="B116">
        <v>500</v>
      </c>
      <c r="C116" t="s">
        <v>17</v>
      </c>
      <c r="D116" t="s">
        <v>18</v>
      </c>
      <c r="E116" t="s">
        <v>19</v>
      </c>
      <c r="F116" t="s">
        <v>24</v>
      </c>
      <c r="G116" t="s">
        <v>12</v>
      </c>
      <c r="H116" t="s">
        <v>16</v>
      </c>
    </row>
    <row r="117" spans="1:8" x14ac:dyDescent="0.3">
      <c r="A117" s="1">
        <v>46066</v>
      </c>
      <c r="B117">
        <v>20</v>
      </c>
      <c r="C117" t="s">
        <v>8</v>
      </c>
      <c r="D117" t="s">
        <v>9</v>
      </c>
      <c r="E117" t="s">
        <v>10</v>
      </c>
      <c r="F117" t="s">
        <v>24</v>
      </c>
      <c r="G117" t="s">
        <v>12</v>
      </c>
      <c r="H117" t="s">
        <v>13</v>
      </c>
    </row>
    <row r="118" spans="1:8" x14ac:dyDescent="0.3">
      <c r="A118" s="1">
        <v>46067</v>
      </c>
      <c r="B118">
        <v>358</v>
      </c>
      <c r="C118" t="s">
        <v>17</v>
      </c>
      <c r="D118" t="s">
        <v>18</v>
      </c>
      <c r="E118" t="s">
        <v>19</v>
      </c>
      <c r="F118" t="s">
        <v>24</v>
      </c>
      <c r="G118" t="s">
        <v>23</v>
      </c>
      <c r="H118" t="s">
        <v>16</v>
      </c>
    </row>
    <row r="119" spans="1:8" x14ac:dyDescent="0.3">
      <c r="A119" s="1">
        <v>46067</v>
      </c>
      <c r="B119">
        <v>464</v>
      </c>
      <c r="C119" t="s">
        <v>17</v>
      </c>
      <c r="D119" t="s">
        <v>18</v>
      </c>
      <c r="E119" t="s">
        <v>19</v>
      </c>
      <c r="F119" t="s">
        <v>24</v>
      </c>
      <c r="G119" t="s">
        <v>23</v>
      </c>
      <c r="H119" t="s">
        <v>16</v>
      </c>
    </row>
    <row r="120" spans="1:8" x14ac:dyDescent="0.3">
      <c r="A120" s="1">
        <v>46067</v>
      </c>
      <c r="B120">
        <v>36</v>
      </c>
      <c r="C120" t="s">
        <v>8</v>
      </c>
      <c r="D120" t="s">
        <v>9</v>
      </c>
      <c r="E120" t="s">
        <v>10</v>
      </c>
      <c r="F120" t="s">
        <v>24</v>
      </c>
      <c r="G120" t="s">
        <v>23</v>
      </c>
      <c r="H120" t="s">
        <v>13</v>
      </c>
    </row>
    <row r="121" spans="1:8" x14ac:dyDescent="0.3">
      <c r="A121" s="1">
        <v>46067</v>
      </c>
      <c r="B121">
        <v>200</v>
      </c>
      <c r="C121" t="s">
        <v>17</v>
      </c>
      <c r="D121" t="s">
        <v>18</v>
      </c>
      <c r="E121" t="s">
        <v>19</v>
      </c>
      <c r="F121" t="s">
        <v>24</v>
      </c>
      <c r="G121" t="s">
        <v>23</v>
      </c>
      <c r="H121" t="s">
        <v>16</v>
      </c>
    </row>
    <row r="122" spans="1:8" x14ac:dyDescent="0.3">
      <c r="A122" s="1">
        <v>46067</v>
      </c>
      <c r="B122">
        <v>50</v>
      </c>
      <c r="C122" t="s">
        <v>8</v>
      </c>
      <c r="D122" t="s">
        <v>14</v>
      </c>
      <c r="E122" t="s">
        <v>15</v>
      </c>
      <c r="F122" t="s">
        <v>24</v>
      </c>
      <c r="G122" t="s">
        <v>23</v>
      </c>
      <c r="H122" t="s">
        <v>16</v>
      </c>
    </row>
    <row r="123" spans="1:8" x14ac:dyDescent="0.3">
      <c r="A123" s="1">
        <v>46068</v>
      </c>
      <c r="B123">
        <v>4</v>
      </c>
      <c r="C123" t="s">
        <v>8</v>
      </c>
      <c r="D123" t="s">
        <v>9</v>
      </c>
      <c r="E123" t="s">
        <v>10</v>
      </c>
      <c r="F123" t="s">
        <v>24</v>
      </c>
      <c r="G123" t="s">
        <v>23</v>
      </c>
      <c r="H123" t="s">
        <v>13</v>
      </c>
    </row>
    <row r="124" spans="1:8" x14ac:dyDescent="0.3">
      <c r="A124" s="1">
        <v>46068</v>
      </c>
      <c r="B124">
        <v>20</v>
      </c>
      <c r="C124" t="s">
        <v>8</v>
      </c>
      <c r="D124" t="s">
        <v>9</v>
      </c>
      <c r="E124" t="s">
        <v>10</v>
      </c>
      <c r="F124" t="s">
        <v>24</v>
      </c>
      <c r="G124" t="s">
        <v>23</v>
      </c>
      <c r="H124" t="s">
        <v>13</v>
      </c>
    </row>
    <row r="125" spans="1:8" x14ac:dyDescent="0.3">
      <c r="A125" s="1">
        <v>46068</v>
      </c>
      <c r="B125">
        <v>332</v>
      </c>
      <c r="C125" t="s">
        <v>17</v>
      </c>
      <c r="D125" t="s">
        <v>18</v>
      </c>
      <c r="E125" t="s">
        <v>19</v>
      </c>
      <c r="F125" t="s">
        <v>24</v>
      </c>
      <c r="G125" t="s">
        <v>23</v>
      </c>
      <c r="H125" t="s">
        <v>16</v>
      </c>
    </row>
    <row r="126" spans="1:8" x14ac:dyDescent="0.3">
      <c r="A126" s="1">
        <v>46068</v>
      </c>
      <c r="B126">
        <v>68</v>
      </c>
      <c r="C126" t="s">
        <v>8</v>
      </c>
      <c r="D126" t="s">
        <v>14</v>
      </c>
      <c r="E126" t="s">
        <v>15</v>
      </c>
      <c r="F126" t="s">
        <v>24</v>
      </c>
      <c r="G126" t="s">
        <v>23</v>
      </c>
      <c r="H126" t="s">
        <v>16</v>
      </c>
    </row>
    <row r="127" spans="1:8" x14ac:dyDescent="0.3">
      <c r="A127" s="1">
        <v>46068</v>
      </c>
      <c r="B127">
        <v>60</v>
      </c>
      <c r="C127" t="s">
        <v>8</v>
      </c>
      <c r="D127" t="s">
        <v>14</v>
      </c>
      <c r="E127" t="s">
        <v>15</v>
      </c>
      <c r="F127" t="s">
        <v>24</v>
      </c>
      <c r="G127" t="s">
        <v>23</v>
      </c>
      <c r="H127" t="s">
        <v>16</v>
      </c>
    </row>
    <row r="128" spans="1:8" x14ac:dyDescent="0.3">
      <c r="A128" s="1">
        <v>46068</v>
      </c>
      <c r="B128">
        <v>20</v>
      </c>
      <c r="C128" t="s">
        <v>8</v>
      </c>
      <c r="D128" t="s">
        <v>9</v>
      </c>
      <c r="E128" t="s">
        <v>10</v>
      </c>
      <c r="F128" t="s">
        <v>24</v>
      </c>
      <c r="G128" t="s">
        <v>23</v>
      </c>
      <c r="H128" t="s">
        <v>13</v>
      </c>
    </row>
    <row r="129" spans="1:8" x14ac:dyDescent="0.3">
      <c r="A129" s="1">
        <v>46069</v>
      </c>
      <c r="B129">
        <v>1</v>
      </c>
      <c r="C129" t="s">
        <v>8</v>
      </c>
      <c r="D129" t="s">
        <v>9</v>
      </c>
      <c r="E129" t="s">
        <v>10</v>
      </c>
      <c r="F129" t="s">
        <v>24</v>
      </c>
      <c r="G129" t="s">
        <v>12</v>
      </c>
      <c r="H129" t="s">
        <v>13</v>
      </c>
    </row>
    <row r="130" spans="1:8" x14ac:dyDescent="0.3">
      <c r="A130" s="1">
        <v>46069</v>
      </c>
      <c r="B130">
        <v>75</v>
      </c>
      <c r="C130" t="s">
        <v>8</v>
      </c>
      <c r="D130" t="s">
        <v>14</v>
      </c>
      <c r="E130" t="s">
        <v>15</v>
      </c>
      <c r="F130" t="s">
        <v>24</v>
      </c>
      <c r="G130" t="s">
        <v>12</v>
      </c>
      <c r="H130" t="s">
        <v>16</v>
      </c>
    </row>
    <row r="131" spans="1:8" x14ac:dyDescent="0.3">
      <c r="A131" s="1">
        <v>46069</v>
      </c>
      <c r="B131">
        <v>20</v>
      </c>
      <c r="C131" t="s">
        <v>8</v>
      </c>
      <c r="D131" t="s">
        <v>9</v>
      </c>
      <c r="E131" t="s">
        <v>10</v>
      </c>
      <c r="F131" t="s">
        <v>24</v>
      </c>
      <c r="G131" t="s">
        <v>12</v>
      </c>
      <c r="H131" t="s">
        <v>13</v>
      </c>
    </row>
    <row r="132" spans="1:8" x14ac:dyDescent="0.3">
      <c r="A132" s="1">
        <v>46069</v>
      </c>
      <c r="B132">
        <v>20</v>
      </c>
      <c r="C132" t="s">
        <v>8</v>
      </c>
      <c r="D132" t="s">
        <v>9</v>
      </c>
      <c r="E132" t="s">
        <v>10</v>
      </c>
      <c r="F132" t="s">
        <v>24</v>
      </c>
      <c r="G132" t="s">
        <v>12</v>
      </c>
      <c r="H132" t="s">
        <v>13</v>
      </c>
    </row>
    <row r="133" spans="1:8" x14ac:dyDescent="0.3">
      <c r="A133" s="1">
        <v>46070</v>
      </c>
      <c r="B133">
        <v>14</v>
      </c>
      <c r="C133" t="s">
        <v>8</v>
      </c>
      <c r="D133" t="s">
        <v>9</v>
      </c>
      <c r="E133" t="s">
        <v>10</v>
      </c>
      <c r="F133" t="s">
        <v>24</v>
      </c>
      <c r="G133" t="s">
        <v>12</v>
      </c>
      <c r="H133" t="s">
        <v>13</v>
      </c>
    </row>
    <row r="134" spans="1:8" x14ac:dyDescent="0.3">
      <c r="A134" s="1">
        <v>46070</v>
      </c>
      <c r="B134">
        <v>242</v>
      </c>
      <c r="C134" t="s">
        <v>17</v>
      </c>
      <c r="D134" t="s">
        <v>18</v>
      </c>
      <c r="E134" t="s">
        <v>19</v>
      </c>
      <c r="F134" t="s">
        <v>24</v>
      </c>
      <c r="G134" t="s">
        <v>12</v>
      </c>
      <c r="H134" t="s">
        <v>16</v>
      </c>
    </row>
    <row r="135" spans="1:8" x14ac:dyDescent="0.3">
      <c r="A135" s="1">
        <v>46070</v>
      </c>
      <c r="B135">
        <v>60</v>
      </c>
      <c r="C135" t="s">
        <v>8</v>
      </c>
      <c r="D135" t="s">
        <v>14</v>
      </c>
      <c r="E135" t="s">
        <v>15</v>
      </c>
      <c r="F135" t="s">
        <v>24</v>
      </c>
      <c r="G135" t="s">
        <v>12</v>
      </c>
      <c r="H135" t="s">
        <v>16</v>
      </c>
    </row>
    <row r="136" spans="1:8" x14ac:dyDescent="0.3">
      <c r="A136" s="1">
        <v>46071</v>
      </c>
      <c r="B136">
        <v>230</v>
      </c>
      <c r="C136" t="s">
        <v>17</v>
      </c>
      <c r="D136" t="s">
        <v>18</v>
      </c>
      <c r="E136" t="s">
        <v>19</v>
      </c>
      <c r="F136" t="s">
        <v>24</v>
      </c>
      <c r="G136" t="s">
        <v>12</v>
      </c>
      <c r="H136" t="s">
        <v>16</v>
      </c>
    </row>
    <row r="137" spans="1:8" x14ac:dyDescent="0.3">
      <c r="A137" s="1">
        <v>46071</v>
      </c>
      <c r="B137">
        <v>400</v>
      </c>
      <c r="C137" t="s">
        <v>17</v>
      </c>
      <c r="D137" t="s">
        <v>18</v>
      </c>
      <c r="E137" t="s">
        <v>19</v>
      </c>
      <c r="F137" t="s">
        <v>24</v>
      </c>
      <c r="G137" t="s">
        <v>12</v>
      </c>
      <c r="H137" t="s">
        <v>16</v>
      </c>
    </row>
    <row r="138" spans="1:8" x14ac:dyDescent="0.3">
      <c r="A138" s="1">
        <v>46071</v>
      </c>
      <c r="B138">
        <v>100</v>
      </c>
      <c r="C138" t="s">
        <v>8</v>
      </c>
      <c r="D138" t="s">
        <v>14</v>
      </c>
      <c r="E138" t="s">
        <v>15</v>
      </c>
      <c r="F138" t="s">
        <v>24</v>
      </c>
      <c r="G138" t="s">
        <v>12</v>
      </c>
      <c r="H138" t="s">
        <v>16</v>
      </c>
    </row>
    <row r="139" spans="1:8" x14ac:dyDescent="0.3">
      <c r="A139" s="1">
        <v>46071</v>
      </c>
      <c r="B139">
        <v>10</v>
      </c>
      <c r="C139" t="s">
        <v>8</v>
      </c>
      <c r="D139" t="s">
        <v>9</v>
      </c>
      <c r="E139" t="s">
        <v>10</v>
      </c>
      <c r="F139" t="s">
        <v>24</v>
      </c>
      <c r="G139" t="s">
        <v>12</v>
      </c>
      <c r="H139" t="s">
        <v>13</v>
      </c>
    </row>
    <row r="140" spans="1:8" x14ac:dyDescent="0.3">
      <c r="A140" s="1">
        <v>46072</v>
      </c>
      <c r="B140">
        <v>100</v>
      </c>
      <c r="C140" t="s">
        <v>8</v>
      </c>
      <c r="D140" t="s">
        <v>14</v>
      </c>
      <c r="E140" t="s">
        <v>15</v>
      </c>
      <c r="F140" t="s">
        <v>24</v>
      </c>
      <c r="G140" t="s">
        <v>12</v>
      </c>
      <c r="H140" t="s">
        <v>16</v>
      </c>
    </row>
    <row r="141" spans="1:8" x14ac:dyDescent="0.3">
      <c r="A141" s="1">
        <v>46072</v>
      </c>
      <c r="B141">
        <v>5250</v>
      </c>
      <c r="C141" t="s">
        <v>20</v>
      </c>
      <c r="D141" t="s">
        <v>21</v>
      </c>
      <c r="E141" t="s">
        <v>22</v>
      </c>
      <c r="F141" t="s">
        <v>24</v>
      </c>
      <c r="G141" t="s">
        <v>12</v>
      </c>
      <c r="H141" t="s">
        <v>13</v>
      </c>
    </row>
    <row r="142" spans="1:8" x14ac:dyDescent="0.3">
      <c r="A142" s="1">
        <v>46072</v>
      </c>
      <c r="B142">
        <v>380</v>
      </c>
      <c r="C142" t="s">
        <v>17</v>
      </c>
      <c r="D142" t="s">
        <v>18</v>
      </c>
      <c r="E142" t="s">
        <v>19</v>
      </c>
      <c r="F142" t="s">
        <v>24</v>
      </c>
      <c r="G142" t="s">
        <v>12</v>
      </c>
      <c r="H142" t="s">
        <v>16</v>
      </c>
    </row>
    <row r="143" spans="1:8" x14ac:dyDescent="0.3">
      <c r="A143" s="1">
        <v>46073</v>
      </c>
      <c r="B143">
        <v>263</v>
      </c>
      <c r="C143" t="s">
        <v>17</v>
      </c>
      <c r="D143" t="s">
        <v>18</v>
      </c>
      <c r="E143" t="s">
        <v>19</v>
      </c>
      <c r="F143" t="s">
        <v>24</v>
      </c>
      <c r="G143" t="s">
        <v>12</v>
      </c>
      <c r="H143" t="s">
        <v>16</v>
      </c>
    </row>
    <row r="144" spans="1:8" x14ac:dyDescent="0.3">
      <c r="A144" s="1">
        <v>46073</v>
      </c>
      <c r="B144">
        <v>50</v>
      </c>
      <c r="C144" t="s">
        <v>8</v>
      </c>
      <c r="D144" t="s">
        <v>14</v>
      </c>
      <c r="E144" t="s">
        <v>15</v>
      </c>
      <c r="F144" t="s">
        <v>24</v>
      </c>
      <c r="G144" t="s">
        <v>12</v>
      </c>
      <c r="H144" t="s">
        <v>16</v>
      </c>
    </row>
    <row r="145" spans="1:8" x14ac:dyDescent="0.3">
      <c r="A145" s="1">
        <v>46074</v>
      </c>
      <c r="B145">
        <v>20</v>
      </c>
      <c r="C145" t="s">
        <v>8</v>
      </c>
      <c r="D145" t="s">
        <v>9</v>
      </c>
      <c r="E145" t="s">
        <v>10</v>
      </c>
      <c r="F145" t="s">
        <v>24</v>
      </c>
      <c r="G145" t="s">
        <v>23</v>
      </c>
      <c r="H145" t="s">
        <v>13</v>
      </c>
    </row>
    <row r="146" spans="1:8" x14ac:dyDescent="0.3">
      <c r="A146" s="1">
        <v>46074</v>
      </c>
      <c r="B146">
        <v>94</v>
      </c>
      <c r="C146" t="s">
        <v>8</v>
      </c>
      <c r="D146" t="s">
        <v>14</v>
      </c>
      <c r="E146" t="s">
        <v>15</v>
      </c>
      <c r="F146" t="s">
        <v>24</v>
      </c>
      <c r="G146" t="s">
        <v>23</v>
      </c>
      <c r="H146" t="s">
        <v>16</v>
      </c>
    </row>
    <row r="147" spans="1:8" x14ac:dyDescent="0.3">
      <c r="A147" s="1">
        <v>46074</v>
      </c>
      <c r="B147">
        <v>141</v>
      </c>
      <c r="C147" t="s">
        <v>8</v>
      </c>
      <c r="D147" t="s">
        <v>14</v>
      </c>
      <c r="E147" t="s">
        <v>15</v>
      </c>
      <c r="F147" t="s">
        <v>24</v>
      </c>
      <c r="G147" t="s">
        <v>23</v>
      </c>
      <c r="H147" t="s">
        <v>16</v>
      </c>
    </row>
    <row r="148" spans="1:8" x14ac:dyDescent="0.3">
      <c r="A148" s="1">
        <v>46074</v>
      </c>
      <c r="B148">
        <v>30</v>
      </c>
      <c r="C148" t="s">
        <v>8</v>
      </c>
      <c r="D148" t="s">
        <v>9</v>
      </c>
      <c r="E148" t="s">
        <v>10</v>
      </c>
      <c r="F148" t="s">
        <v>24</v>
      </c>
      <c r="G148" t="s">
        <v>23</v>
      </c>
      <c r="H148" t="s">
        <v>13</v>
      </c>
    </row>
    <row r="149" spans="1:8" x14ac:dyDescent="0.3">
      <c r="A149" s="1">
        <v>46074</v>
      </c>
      <c r="B149">
        <v>110</v>
      </c>
      <c r="C149" t="s">
        <v>8</v>
      </c>
      <c r="D149" t="s">
        <v>14</v>
      </c>
      <c r="E149" t="s">
        <v>15</v>
      </c>
      <c r="F149" t="s">
        <v>24</v>
      </c>
      <c r="G149" t="s">
        <v>23</v>
      </c>
      <c r="H149" t="s">
        <v>16</v>
      </c>
    </row>
    <row r="150" spans="1:8" x14ac:dyDescent="0.3">
      <c r="A150" s="1">
        <v>46075</v>
      </c>
      <c r="B150">
        <v>10.87</v>
      </c>
      <c r="C150" t="s">
        <v>8</v>
      </c>
      <c r="D150" t="s">
        <v>9</v>
      </c>
      <c r="E150" t="s">
        <v>10</v>
      </c>
      <c r="F150" t="s">
        <v>24</v>
      </c>
      <c r="G150" t="s">
        <v>23</v>
      </c>
      <c r="H150" t="s">
        <v>13</v>
      </c>
    </row>
    <row r="151" spans="1:8" x14ac:dyDescent="0.3">
      <c r="A151" s="1">
        <v>46075</v>
      </c>
      <c r="B151">
        <v>20</v>
      </c>
      <c r="C151" t="s">
        <v>8</v>
      </c>
      <c r="D151" t="s">
        <v>9</v>
      </c>
      <c r="E151" t="s">
        <v>10</v>
      </c>
      <c r="F151" t="s">
        <v>24</v>
      </c>
      <c r="G151" t="s">
        <v>23</v>
      </c>
      <c r="H151" t="s">
        <v>13</v>
      </c>
    </row>
    <row r="152" spans="1:8" x14ac:dyDescent="0.3">
      <c r="A152" s="1">
        <v>46075</v>
      </c>
      <c r="B152">
        <v>20</v>
      </c>
      <c r="C152" t="s">
        <v>8</v>
      </c>
      <c r="D152" t="s">
        <v>9</v>
      </c>
      <c r="E152" t="s">
        <v>10</v>
      </c>
      <c r="F152" t="s">
        <v>24</v>
      </c>
      <c r="G152" t="s">
        <v>23</v>
      </c>
      <c r="H152" t="s">
        <v>13</v>
      </c>
    </row>
    <row r="153" spans="1:8" x14ac:dyDescent="0.3">
      <c r="A153" s="1">
        <v>46075</v>
      </c>
      <c r="B153">
        <v>3</v>
      </c>
      <c r="C153" t="s">
        <v>8</v>
      </c>
      <c r="D153" t="s">
        <v>9</v>
      </c>
      <c r="E153" t="s">
        <v>10</v>
      </c>
      <c r="F153" t="s">
        <v>24</v>
      </c>
      <c r="G153" t="s">
        <v>23</v>
      </c>
      <c r="H153" t="s">
        <v>13</v>
      </c>
    </row>
    <row r="154" spans="1:8" x14ac:dyDescent="0.3">
      <c r="A154" s="1">
        <v>46075</v>
      </c>
      <c r="B154">
        <v>20</v>
      </c>
      <c r="C154" t="s">
        <v>8</v>
      </c>
      <c r="D154" t="s">
        <v>9</v>
      </c>
      <c r="E154" t="s">
        <v>10</v>
      </c>
      <c r="F154" t="s">
        <v>24</v>
      </c>
      <c r="G154" t="s">
        <v>23</v>
      </c>
      <c r="H154" t="s">
        <v>13</v>
      </c>
    </row>
    <row r="155" spans="1:8" x14ac:dyDescent="0.3">
      <c r="A155" s="1">
        <v>46076</v>
      </c>
      <c r="B155">
        <v>20</v>
      </c>
      <c r="C155" t="s">
        <v>8</v>
      </c>
      <c r="D155" t="s">
        <v>9</v>
      </c>
      <c r="E155" t="s">
        <v>10</v>
      </c>
      <c r="F155" t="s">
        <v>24</v>
      </c>
      <c r="G155" t="s">
        <v>12</v>
      </c>
      <c r="H155" t="s">
        <v>13</v>
      </c>
    </row>
    <row r="156" spans="1:8" x14ac:dyDescent="0.3">
      <c r="A156" s="1">
        <v>46076</v>
      </c>
      <c r="B156">
        <v>10</v>
      </c>
      <c r="C156" t="s">
        <v>8</v>
      </c>
      <c r="D156" t="s">
        <v>9</v>
      </c>
      <c r="E156" t="s">
        <v>10</v>
      </c>
      <c r="F156" t="s">
        <v>24</v>
      </c>
      <c r="G156" t="s">
        <v>12</v>
      </c>
      <c r="H156" t="s">
        <v>13</v>
      </c>
    </row>
    <row r="157" spans="1:8" x14ac:dyDescent="0.3">
      <c r="A157" s="1">
        <v>46076</v>
      </c>
      <c r="B157">
        <v>70</v>
      </c>
      <c r="C157" t="s">
        <v>8</v>
      </c>
      <c r="D157" t="s">
        <v>14</v>
      </c>
      <c r="E157" t="s">
        <v>15</v>
      </c>
      <c r="F157" t="s">
        <v>24</v>
      </c>
      <c r="G157" t="s">
        <v>12</v>
      </c>
      <c r="H157" t="s">
        <v>16</v>
      </c>
    </row>
    <row r="158" spans="1:8" x14ac:dyDescent="0.3">
      <c r="A158" s="1">
        <v>46076</v>
      </c>
      <c r="B158">
        <v>80</v>
      </c>
      <c r="C158" t="s">
        <v>8</v>
      </c>
      <c r="D158" t="s">
        <v>14</v>
      </c>
      <c r="E158" t="s">
        <v>15</v>
      </c>
      <c r="F158" t="s">
        <v>24</v>
      </c>
      <c r="G158" t="s">
        <v>12</v>
      </c>
      <c r="H158" t="s">
        <v>16</v>
      </c>
    </row>
    <row r="159" spans="1:8" x14ac:dyDescent="0.3">
      <c r="A159" s="1">
        <v>46077</v>
      </c>
      <c r="B159">
        <v>205</v>
      </c>
      <c r="C159" t="s">
        <v>17</v>
      </c>
      <c r="D159" t="s">
        <v>18</v>
      </c>
      <c r="E159" t="s">
        <v>19</v>
      </c>
      <c r="F159" t="s">
        <v>24</v>
      </c>
      <c r="G159" t="s">
        <v>12</v>
      </c>
      <c r="H159" t="s">
        <v>16</v>
      </c>
    </row>
    <row r="160" spans="1:8" x14ac:dyDescent="0.3">
      <c r="A160" s="1">
        <v>46077</v>
      </c>
      <c r="B160">
        <v>120</v>
      </c>
      <c r="C160" t="s">
        <v>8</v>
      </c>
      <c r="D160" t="s">
        <v>14</v>
      </c>
      <c r="E160" t="s">
        <v>15</v>
      </c>
      <c r="F160" t="s">
        <v>24</v>
      </c>
      <c r="G160" t="s">
        <v>12</v>
      </c>
      <c r="H160" t="s">
        <v>16</v>
      </c>
    </row>
    <row r="161" spans="1:8" x14ac:dyDescent="0.3">
      <c r="A161" s="1">
        <v>46078</v>
      </c>
      <c r="B161">
        <v>165</v>
      </c>
      <c r="C161" t="s">
        <v>8</v>
      </c>
      <c r="D161" t="s">
        <v>14</v>
      </c>
      <c r="E161" t="s">
        <v>15</v>
      </c>
      <c r="F161" t="s">
        <v>24</v>
      </c>
      <c r="G161" t="s">
        <v>12</v>
      </c>
      <c r="H161" t="s">
        <v>16</v>
      </c>
    </row>
    <row r="162" spans="1:8" x14ac:dyDescent="0.3">
      <c r="A162" s="1">
        <v>46078</v>
      </c>
      <c r="B162">
        <v>80</v>
      </c>
      <c r="C162" t="s">
        <v>8</v>
      </c>
      <c r="D162" t="s">
        <v>14</v>
      </c>
      <c r="E162" t="s">
        <v>15</v>
      </c>
      <c r="F162" t="s">
        <v>24</v>
      </c>
      <c r="G162" t="s">
        <v>12</v>
      </c>
      <c r="H162" t="s">
        <v>16</v>
      </c>
    </row>
    <row r="163" spans="1:8" x14ac:dyDescent="0.3">
      <c r="A163" s="1">
        <v>46079</v>
      </c>
      <c r="B163">
        <v>180</v>
      </c>
      <c r="C163" t="s">
        <v>8</v>
      </c>
      <c r="D163" t="s">
        <v>14</v>
      </c>
      <c r="E163" t="s">
        <v>15</v>
      </c>
      <c r="F163" t="s">
        <v>24</v>
      </c>
      <c r="G163" t="s">
        <v>12</v>
      </c>
      <c r="H163" t="s">
        <v>16</v>
      </c>
    </row>
    <row r="164" spans="1:8" x14ac:dyDescent="0.3">
      <c r="A164" s="1">
        <v>46082</v>
      </c>
      <c r="B164">
        <v>190.92</v>
      </c>
      <c r="C164" t="s">
        <v>8</v>
      </c>
      <c r="D164" t="s">
        <v>14</v>
      </c>
      <c r="E164" t="s">
        <v>15</v>
      </c>
      <c r="F164" t="s">
        <v>25</v>
      </c>
      <c r="G164" t="s">
        <v>23</v>
      </c>
      <c r="H164" t="s">
        <v>16</v>
      </c>
    </row>
    <row r="165" spans="1:8" x14ac:dyDescent="0.3">
      <c r="A165" s="1">
        <v>46082</v>
      </c>
      <c r="B165">
        <v>200</v>
      </c>
      <c r="C165" t="s">
        <v>17</v>
      </c>
      <c r="D165" t="s">
        <v>18</v>
      </c>
      <c r="E165" t="s">
        <v>19</v>
      </c>
      <c r="F165" t="s">
        <v>25</v>
      </c>
      <c r="G165" t="s">
        <v>23</v>
      </c>
      <c r="H165" t="s">
        <v>16</v>
      </c>
    </row>
    <row r="166" spans="1:8" x14ac:dyDescent="0.3">
      <c r="A166" s="1">
        <v>46082</v>
      </c>
      <c r="B166">
        <v>220.62</v>
      </c>
      <c r="C166" t="s">
        <v>17</v>
      </c>
      <c r="D166" t="s">
        <v>18</v>
      </c>
      <c r="E166" t="s">
        <v>19</v>
      </c>
      <c r="F166" t="s">
        <v>25</v>
      </c>
      <c r="G166" t="s">
        <v>23</v>
      </c>
      <c r="H166" t="s">
        <v>16</v>
      </c>
    </row>
    <row r="167" spans="1:8" x14ac:dyDescent="0.3">
      <c r="A167" s="1">
        <v>46082</v>
      </c>
      <c r="B167">
        <v>210</v>
      </c>
      <c r="C167" t="s">
        <v>17</v>
      </c>
      <c r="D167" t="s">
        <v>18</v>
      </c>
      <c r="E167" t="s">
        <v>19</v>
      </c>
      <c r="F167" t="s">
        <v>25</v>
      </c>
      <c r="G167" t="s">
        <v>23</v>
      </c>
      <c r="H167" t="s">
        <v>16</v>
      </c>
    </row>
    <row r="168" spans="1:8" x14ac:dyDescent="0.3">
      <c r="A168" s="1">
        <v>46082</v>
      </c>
      <c r="B168">
        <v>20</v>
      </c>
      <c r="C168" t="s">
        <v>8</v>
      </c>
      <c r="D168" t="s">
        <v>9</v>
      </c>
      <c r="E168" t="s">
        <v>10</v>
      </c>
      <c r="F168" t="s">
        <v>25</v>
      </c>
      <c r="G168" t="s">
        <v>23</v>
      </c>
      <c r="H168" t="s">
        <v>13</v>
      </c>
    </row>
    <row r="169" spans="1:8" x14ac:dyDescent="0.3">
      <c r="A169" s="1">
        <v>46082</v>
      </c>
      <c r="B169">
        <v>10</v>
      </c>
      <c r="C169" t="s">
        <v>8</v>
      </c>
      <c r="D169" t="s">
        <v>9</v>
      </c>
      <c r="E169" t="s">
        <v>10</v>
      </c>
      <c r="F169" t="s">
        <v>25</v>
      </c>
      <c r="G169" t="s">
        <v>23</v>
      </c>
      <c r="H169" t="s">
        <v>13</v>
      </c>
    </row>
    <row r="170" spans="1:8" x14ac:dyDescent="0.3">
      <c r="A170" s="1">
        <v>46083</v>
      </c>
      <c r="B170">
        <v>1500</v>
      </c>
      <c r="C170" t="s">
        <v>20</v>
      </c>
      <c r="D170" t="s">
        <v>21</v>
      </c>
      <c r="E170" t="s">
        <v>22</v>
      </c>
      <c r="F170" t="s">
        <v>25</v>
      </c>
      <c r="G170" t="s">
        <v>12</v>
      </c>
      <c r="H170" t="s">
        <v>13</v>
      </c>
    </row>
    <row r="171" spans="1:8" x14ac:dyDescent="0.3">
      <c r="A171" s="1">
        <v>46083</v>
      </c>
      <c r="B171">
        <v>105</v>
      </c>
      <c r="C171" t="s">
        <v>8</v>
      </c>
      <c r="D171" t="s">
        <v>14</v>
      </c>
      <c r="E171" t="s">
        <v>15</v>
      </c>
      <c r="F171" t="s">
        <v>25</v>
      </c>
      <c r="G171" t="s">
        <v>12</v>
      </c>
      <c r="H171" t="s">
        <v>16</v>
      </c>
    </row>
    <row r="172" spans="1:8" x14ac:dyDescent="0.3">
      <c r="A172" s="1">
        <v>46083</v>
      </c>
      <c r="B172">
        <v>200</v>
      </c>
      <c r="C172" t="s">
        <v>17</v>
      </c>
      <c r="D172" t="s">
        <v>18</v>
      </c>
      <c r="E172" t="s">
        <v>19</v>
      </c>
      <c r="F172" t="s">
        <v>25</v>
      </c>
      <c r="G172" t="s">
        <v>12</v>
      </c>
      <c r="H172" t="s">
        <v>16</v>
      </c>
    </row>
    <row r="173" spans="1:8" x14ac:dyDescent="0.3">
      <c r="A173" s="1">
        <v>46083</v>
      </c>
      <c r="B173">
        <v>110</v>
      </c>
      <c r="C173" t="s">
        <v>8</v>
      </c>
      <c r="D173" t="s">
        <v>14</v>
      </c>
      <c r="E173" t="s">
        <v>15</v>
      </c>
      <c r="F173" t="s">
        <v>25</v>
      </c>
      <c r="G173" t="s">
        <v>12</v>
      </c>
      <c r="H173" t="s">
        <v>16</v>
      </c>
    </row>
    <row r="174" spans="1:8" x14ac:dyDescent="0.3">
      <c r="A174" s="1">
        <v>46084</v>
      </c>
      <c r="B174">
        <v>90</v>
      </c>
      <c r="C174" t="s">
        <v>8</v>
      </c>
      <c r="D174" t="s">
        <v>14</v>
      </c>
      <c r="E174" t="s">
        <v>15</v>
      </c>
      <c r="F174" t="s">
        <v>25</v>
      </c>
      <c r="G174" t="s">
        <v>12</v>
      </c>
      <c r="H174" t="s">
        <v>16</v>
      </c>
    </row>
    <row r="175" spans="1:8" x14ac:dyDescent="0.3">
      <c r="A175" s="1">
        <v>46084</v>
      </c>
      <c r="B175">
        <v>1540</v>
      </c>
      <c r="C175" t="s">
        <v>20</v>
      </c>
      <c r="D175" t="s">
        <v>21</v>
      </c>
      <c r="E175" t="s">
        <v>22</v>
      </c>
      <c r="F175" t="s">
        <v>25</v>
      </c>
      <c r="G175" t="s">
        <v>12</v>
      </c>
      <c r="H175" t="s">
        <v>13</v>
      </c>
    </row>
    <row r="176" spans="1:8" x14ac:dyDescent="0.3">
      <c r="A176" s="1">
        <v>46085</v>
      </c>
      <c r="B176">
        <v>308</v>
      </c>
      <c r="C176" t="s">
        <v>17</v>
      </c>
      <c r="D176" t="s">
        <v>18</v>
      </c>
      <c r="E176" t="s">
        <v>19</v>
      </c>
      <c r="F176" t="s">
        <v>25</v>
      </c>
      <c r="G176" t="s">
        <v>12</v>
      </c>
      <c r="H176" t="s">
        <v>16</v>
      </c>
    </row>
    <row r="177" spans="1:8" x14ac:dyDescent="0.3">
      <c r="A177" s="1">
        <v>46085</v>
      </c>
      <c r="B177">
        <v>35</v>
      </c>
      <c r="C177" t="s">
        <v>8</v>
      </c>
      <c r="D177" t="s">
        <v>9</v>
      </c>
      <c r="E177" t="s">
        <v>10</v>
      </c>
      <c r="F177" t="s">
        <v>25</v>
      </c>
      <c r="G177" t="s">
        <v>12</v>
      </c>
      <c r="H177" t="s">
        <v>13</v>
      </c>
    </row>
    <row r="178" spans="1:8" x14ac:dyDescent="0.3">
      <c r="A178" s="1">
        <v>46085</v>
      </c>
      <c r="B178">
        <v>40</v>
      </c>
      <c r="C178" t="s">
        <v>8</v>
      </c>
      <c r="D178" t="s">
        <v>9</v>
      </c>
      <c r="E178" t="s">
        <v>10</v>
      </c>
      <c r="F178" t="s">
        <v>25</v>
      </c>
      <c r="G178" t="s">
        <v>12</v>
      </c>
      <c r="H178" t="s">
        <v>13</v>
      </c>
    </row>
    <row r="179" spans="1:8" x14ac:dyDescent="0.3">
      <c r="A179" s="1">
        <v>46086</v>
      </c>
      <c r="B179">
        <v>10</v>
      </c>
      <c r="C179" t="s">
        <v>8</v>
      </c>
      <c r="D179" t="s">
        <v>9</v>
      </c>
      <c r="E179" t="s">
        <v>10</v>
      </c>
      <c r="F179" t="s">
        <v>25</v>
      </c>
      <c r="G179" t="s">
        <v>12</v>
      </c>
      <c r="H179" t="s">
        <v>13</v>
      </c>
    </row>
    <row r="180" spans="1:8" x14ac:dyDescent="0.3">
      <c r="A180" s="1">
        <v>46086</v>
      </c>
      <c r="B180">
        <v>144</v>
      </c>
      <c r="C180" t="s">
        <v>8</v>
      </c>
      <c r="D180" t="s">
        <v>14</v>
      </c>
      <c r="E180" t="s">
        <v>15</v>
      </c>
      <c r="F180" t="s">
        <v>25</v>
      </c>
      <c r="G180" t="s">
        <v>12</v>
      </c>
      <c r="H180" t="s">
        <v>16</v>
      </c>
    </row>
    <row r="181" spans="1:8" x14ac:dyDescent="0.3">
      <c r="A181" s="1">
        <v>46086</v>
      </c>
      <c r="B181">
        <v>80</v>
      </c>
      <c r="C181" t="s">
        <v>8</v>
      </c>
      <c r="D181" t="s">
        <v>14</v>
      </c>
      <c r="E181" t="s">
        <v>15</v>
      </c>
      <c r="F181" t="s">
        <v>25</v>
      </c>
      <c r="G181" t="s">
        <v>12</v>
      </c>
      <c r="H181" t="s">
        <v>16</v>
      </c>
    </row>
    <row r="182" spans="1:8" x14ac:dyDescent="0.3">
      <c r="A182" s="1">
        <v>46086</v>
      </c>
      <c r="B182">
        <v>120</v>
      </c>
      <c r="C182" t="s">
        <v>8</v>
      </c>
      <c r="D182" t="s">
        <v>14</v>
      </c>
      <c r="E182" t="s">
        <v>15</v>
      </c>
      <c r="F182" t="s">
        <v>25</v>
      </c>
      <c r="G182" t="s">
        <v>12</v>
      </c>
      <c r="H182" t="s">
        <v>16</v>
      </c>
    </row>
    <row r="183" spans="1:8" x14ac:dyDescent="0.3">
      <c r="A183" s="1">
        <v>46086</v>
      </c>
      <c r="B183">
        <v>89.86</v>
      </c>
      <c r="C183" t="s">
        <v>8</v>
      </c>
      <c r="D183" t="s">
        <v>14</v>
      </c>
      <c r="E183" t="s">
        <v>15</v>
      </c>
      <c r="F183" t="s">
        <v>25</v>
      </c>
      <c r="G183" t="s">
        <v>12</v>
      </c>
      <c r="H183" t="s">
        <v>16</v>
      </c>
    </row>
    <row r="184" spans="1:8" x14ac:dyDescent="0.3">
      <c r="A184" s="1">
        <v>46087</v>
      </c>
      <c r="B184">
        <v>1500</v>
      </c>
      <c r="C184" t="s">
        <v>20</v>
      </c>
      <c r="D184" t="s">
        <v>21</v>
      </c>
      <c r="E184" t="s">
        <v>22</v>
      </c>
      <c r="F184" t="s">
        <v>25</v>
      </c>
      <c r="G184" t="s">
        <v>12</v>
      </c>
      <c r="H184" t="s">
        <v>13</v>
      </c>
    </row>
    <row r="185" spans="1:8" x14ac:dyDescent="0.3">
      <c r="A185" s="1">
        <v>46087</v>
      </c>
      <c r="B185">
        <v>110</v>
      </c>
      <c r="C185" t="s">
        <v>8</v>
      </c>
      <c r="D185" t="s">
        <v>14</v>
      </c>
      <c r="E185" t="s">
        <v>15</v>
      </c>
      <c r="F185" t="s">
        <v>25</v>
      </c>
      <c r="G185" t="s">
        <v>12</v>
      </c>
      <c r="H185" t="s">
        <v>16</v>
      </c>
    </row>
    <row r="186" spans="1:8" x14ac:dyDescent="0.3">
      <c r="A186" s="1">
        <v>46088</v>
      </c>
      <c r="B186">
        <v>310</v>
      </c>
      <c r="C186" t="s">
        <v>17</v>
      </c>
      <c r="D186" t="s">
        <v>18</v>
      </c>
      <c r="E186" t="s">
        <v>19</v>
      </c>
      <c r="F186" t="s">
        <v>25</v>
      </c>
      <c r="G186" t="s">
        <v>23</v>
      </c>
      <c r="H186" t="s">
        <v>16</v>
      </c>
    </row>
    <row r="187" spans="1:8" x14ac:dyDescent="0.3">
      <c r="A187" s="1">
        <v>46089</v>
      </c>
      <c r="B187">
        <v>310</v>
      </c>
      <c r="C187" t="s">
        <v>17</v>
      </c>
      <c r="D187" t="s">
        <v>18</v>
      </c>
      <c r="E187" t="s">
        <v>19</v>
      </c>
      <c r="F187" t="s">
        <v>25</v>
      </c>
      <c r="G187" t="s">
        <v>23</v>
      </c>
      <c r="H187" t="s">
        <v>16</v>
      </c>
    </row>
    <row r="188" spans="1:8" x14ac:dyDescent="0.3">
      <c r="A188" s="1">
        <v>46089</v>
      </c>
      <c r="B188">
        <v>120</v>
      </c>
      <c r="C188" t="s">
        <v>8</v>
      </c>
      <c r="D188" t="s">
        <v>14</v>
      </c>
      <c r="E188" t="s">
        <v>15</v>
      </c>
      <c r="F188" t="s">
        <v>25</v>
      </c>
      <c r="G188" t="s">
        <v>23</v>
      </c>
      <c r="H188" t="s">
        <v>16</v>
      </c>
    </row>
    <row r="189" spans="1:8" x14ac:dyDescent="0.3">
      <c r="A189" s="1">
        <v>46090</v>
      </c>
      <c r="B189">
        <v>141</v>
      </c>
      <c r="C189" t="s">
        <v>8</v>
      </c>
      <c r="D189" t="s">
        <v>14</v>
      </c>
      <c r="E189" t="s">
        <v>15</v>
      </c>
      <c r="F189" t="s">
        <v>25</v>
      </c>
      <c r="G189" t="s">
        <v>12</v>
      </c>
      <c r="H189" t="s">
        <v>16</v>
      </c>
    </row>
    <row r="190" spans="1:8" x14ac:dyDescent="0.3">
      <c r="A190" s="1">
        <v>46090</v>
      </c>
      <c r="B190">
        <v>60</v>
      </c>
      <c r="C190" t="s">
        <v>8</v>
      </c>
      <c r="D190" t="s">
        <v>14</v>
      </c>
      <c r="E190" t="s">
        <v>15</v>
      </c>
      <c r="F190" t="s">
        <v>25</v>
      </c>
      <c r="G190" t="s">
        <v>12</v>
      </c>
      <c r="H190" t="s">
        <v>16</v>
      </c>
    </row>
    <row r="191" spans="1:8" x14ac:dyDescent="0.3">
      <c r="A191" s="1">
        <v>46090</v>
      </c>
      <c r="B191">
        <v>57</v>
      </c>
      <c r="C191" t="s">
        <v>8</v>
      </c>
      <c r="D191" t="s">
        <v>14</v>
      </c>
      <c r="E191" t="s">
        <v>15</v>
      </c>
      <c r="F191" t="s">
        <v>25</v>
      </c>
      <c r="G191" t="s">
        <v>12</v>
      </c>
      <c r="H191" t="s">
        <v>16</v>
      </c>
    </row>
    <row r="192" spans="1:8" x14ac:dyDescent="0.3">
      <c r="A192" s="1">
        <v>46090</v>
      </c>
      <c r="B192">
        <v>466</v>
      </c>
      <c r="C192" t="s">
        <v>17</v>
      </c>
      <c r="D192" t="s">
        <v>18</v>
      </c>
      <c r="E192" t="s">
        <v>19</v>
      </c>
      <c r="F192" t="s">
        <v>25</v>
      </c>
      <c r="G192" t="s">
        <v>12</v>
      </c>
      <c r="H192" t="s">
        <v>16</v>
      </c>
    </row>
    <row r="193" spans="1:8" x14ac:dyDescent="0.3">
      <c r="A193" s="1">
        <v>46091</v>
      </c>
      <c r="B193">
        <v>110</v>
      </c>
      <c r="C193" t="s">
        <v>8</v>
      </c>
      <c r="D193" t="s">
        <v>14</v>
      </c>
      <c r="E193" t="s">
        <v>15</v>
      </c>
      <c r="F193" t="s">
        <v>25</v>
      </c>
      <c r="G193" t="s">
        <v>12</v>
      </c>
      <c r="H193" t="s">
        <v>16</v>
      </c>
    </row>
    <row r="194" spans="1:8" x14ac:dyDescent="0.3">
      <c r="A194" s="1">
        <v>46091</v>
      </c>
      <c r="B194">
        <v>72</v>
      </c>
      <c r="C194" t="s">
        <v>8</v>
      </c>
      <c r="D194" t="s">
        <v>14</v>
      </c>
      <c r="E194" t="s">
        <v>15</v>
      </c>
      <c r="F194" t="s">
        <v>25</v>
      </c>
      <c r="G194" t="s">
        <v>12</v>
      </c>
      <c r="H194" t="s">
        <v>16</v>
      </c>
    </row>
    <row r="195" spans="1:8" x14ac:dyDescent="0.3">
      <c r="A195" s="1">
        <v>46091</v>
      </c>
      <c r="B195">
        <v>60</v>
      </c>
      <c r="C195" t="s">
        <v>8</v>
      </c>
      <c r="D195" t="s">
        <v>14</v>
      </c>
      <c r="E195" t="s">
        <v>15</v>
      </c>
      <c r="F195" t="s">
        <v>25</v>
      </c>
      <c r="G195" t="s">
        <v>12</v>
      </c>
      <c r="H195" t="s">
        <v>16</v>
      </c>
    </row>
    <row r="196" spans="1:8" x14ac:dyDescent="0.3">
      <c r="A196" s="1">
        <v>46091</v>
      </c>
      <c r="B196">
        <v>140</v>
      </c>
      <c r="C196" t="s">
        <v>8</v>
      </c>
      <c r="D196" t="s">
        <v>14</v>
      </c>
      <c r="E196" t="s">
        <v>15</v>
      </c>
      <c r="F196" t="s">
        <v>25</v>
      </c>
      <c r="G196" t="s">
        <v>12</v>
      </c>
      <c r="H196" t="s">
        <v>16</v>
      </c>
    </row>
    <row r="197" spans="1:8" x14ac:dyDescent="0.3">
      <c r="A197" s="1">
        <v>46091</v>
      </c>
      <c r="B197">
        <v>90</v>
      </c>
      <c r="C197" t="s">
        <v>8</v>
      </c>
      <c r="D197" t="s">
        <v>14</v>
      </c>
      <c r="E197" t="s">
        <v>15</v>
      </c>
      <c r="F197" t="s">
        <v>25</v>
      </c>
      <c r="G197" t="s">
        <v>12</v>
      </c>
      <c r="H197" t="s">
        <v>16</v>
      </c>
    </row>
    <row r="198" spans="1:8" x14ac:dyDescent="0.3">
      <c r="A198" s="1">
        <v>46092</v>
      </c>
      <c r="B198">
        <v>15</v>
      </c>
      <c r="C198" t="s">
        <v>8</v>
      </c>
      <c r="D198" t="s">
        <v>9</v>
      </c>
      <c r="E198" t="s">
        <v>10</v>
      </c>
      <c r="F198" t="s">
        <v>25</v>
      </c>
      <c r="G198" t="s">
        <v>12</v>
      </c>
      <c r="H198" t="s">
        <v>13</v>
      </c>
    </row>
    <row r="199" spans="1:8" x14ac:dyDescent="0.3">
      <c r="A199" s="1">
        <v>46092</v>
      </c>
      <c r="B199">
        <v>25</v>
      </c>
      <c r="C199" t="s">
        <v>8</v>
      </c>
      <c r="D199" t="s">
        <v>9</v>
      </c>
      <c r="E199" t="s">
        <v>10</v>
      </c>
      <c r="F199" t="s">
        <v>25</v>
      </c>
      <c r="G199" t="s">
        <v>12</v>
      </c>
      <c r="H199" t="s">
        <v>13</v>
      </c>
    </row>
    <row r="200" spans="1:8" x14ac:dyDescent="0.3">
      <c r="A200" s="1">
        <v>46092</v>
      </c>
      <c r="B200">
        <v>500</v>
      </c>
      <c r="C200" t="s">
        <v>17</v>
      </c>
      <c r="D200" t="s">
        <v>18</v>
      </c>
      <c r="E200" t="s">
        <v>19</v>
      </c>
      <c r="F200" t="s">
        <v>25</v>
      </c>
      <c r="G200" t="s">
        <v>12</v>
      </c>
      <c r="H200" t="s">
        <v>16</v>
      </c>
    </row>
    <row r="201" spans="1:8" x14ac:dyDescent="0.3">
      <c r="A201" s="1">
        <v>46094</v>
      </c>
      <c r="B201">
        <v>30</v>
      </c>
      <c r="C201" t="s">
        <v>8</v>
      </c>
      <c r="D201" t="s">
        <v>9</v>
      </c>
      <c r="E201" t="s">
        <v>10</v>
      </c>
      <c r="F201" t="s">
        <v>25</v>
      </c>
      <c r="G201" t="s">
        <v>12</v>
      </c>
      <c r="H201" t="s">
        <v>13</v>
      </c>
    </row>
    <row r="202" spans="1:8" x14ac:dyDescent="0.3">
      <c r="A202" s="1">
        <v>46095</v>
      </c>
      <c r="B202">
        <v>39.200000000000003</v>
      </c>
      <c r="C202" t="s">
        <v>8</v>
      </c>
      <c r="D202" t="s">
        <v>9</v>
      </c>
      <c r="E202" t="s">
        <v>10</v>
      </c>
      <c r="F202" t="s">
        <v>25</v>
      </c>
      <c r="G202" t="s">
        <v>23</v>
      </c>
      <c r="H202" t="s">
        <v>13</v>
      </c>
    </row>
    <row r="203" spans="1:8" x14ac:dyDescent="0.3">
      <c r="A203" s="1">
        <v>46095</v>
      </c>
      <c r="B203">
        <v>195</v>
      </c>
      <c r="C203" t="s">
        <v>8</v>
      </c>
      <c r="D203" t="s">
        <v>14</v>
      </c>
      <c r="E203" t="s">
        <v>15</v>
      </c>
      <c r="F203" t="s">
        <v>25</v>
      </c>
      <c r="G203" t="s">
        <v>23</v>
      </c>
      <c r="H203" t="s">
        <v>16</v>
      </c>
    </row>
    <row r="204" spans="1:8" x14ac:dyDescent="0.3">
      <c r="A204" s="1">
        <v>46096</v>
      </c>
      <c r="B204">
        <v>165</v>
      </c>
      <c r="C204" t="s">
        <v>8</v>
      </c>
      <c r="D204" t="s">
        <v>14</v>
      </c>
      <c r="E204" t="s">
        <v>15</v>
      </c>
      <c r="F204" t="s">
        <v>25</v>
      </c>
      <c r="G204" t="s">
        <v>23</v>
      </c>
      <c r="H204" t="s">
        <v>16</v>
      </c>
    </row>
    <row r="205" spans="1:8" x14ac:dyDescent="0.3">
      <c r="A205" s="1">
        <v>46096</v>
      </c>
      <c r="B205">
        <v>40</v>
      </c>
      <c r="C205" t="s">
        <v>8</v>
      </c>
      <c r="D205" t="s">
        <v>9</v>
      </c>
      <c r="E205" t="s">
        <v>10</v>
      </c>
      <c r="F205" t="s">
        <v>25</v>
      </c>
      <c r="G205" t="s">
        <v>23</v>
      </c>
      <c r="H205" t="s">
        <v>13</v>
      </c>
    </row>
    <row r="206" spans="1:8" x14ac:dyDescent="0.3">
      <c r="A206" s="1">
        <v>46097</v>
      </c>
      <c r="B206">
        <v>135</v>
      </c>
      <c r="C206" t="s">
        <v>8</v>
      </c>
      <c r="D206" t="s">
        <v>14</v>
      </c>
      <c r="E206" t="s">
        <v>15</v>
      </c>
      <c r="F206" t="s">
        <v>25</v>
      </c>
      <c r="G206" t="s">
        <v>12</v>
      </c>
      <c r="H206" t="s">
        <v>16</v>
      </c>
    </row>
    <row r="207" spans="1:8" x14ac:dyDescent="0.3">
      <c r="A207" s="1">
        <v>46101</v>
      </c>
      <c r="B207">
        <v>225</v>
      </c>
      <c r="C207" t="s">
        <v>17</v>
      </c>
      <c r="D207" t="s">
        <v>18</v>
      </c>
      <c r="E207" t="s">
        <v>19</v>
      </c>
      <c r="F207" t="s">
        <v>25</v>
      </c>
      <c r="G207" t="s">
        <v>12</v>
      </c>
      <c r="H207" t="s">
        <v>16</v>
      </c>
    </row>
    <row r="208" spans="1:8" x14ac:dyDescent="0.3">
      <c r="A208" s="1">
        <v>46101</v>
      </c>
      <c r="B208">
        <v>500</v>
      </c>
      <c r="C208" t="s">
        <v>17</v>
      </c>
      <c r="D208" t="s">
        <v>18</v>
      </c>
      <c r="E208" t="s">
        <v>19</v>
      </c>
      <c r="F208" t="s">
        <v>25</v>
      </c>
      <c r="G208" t="s">
        <v>12</v>
      </c>
      <c r="H208" t="s">
        <v>16</v>
      </c>
    </row>
    <row r="209" spans="1:8" x14ac:dyDescent="0.3">
      <c r="A209" s="1">
        <v>46101</v>
      </c>
      <c r="B209">
        <v>270</v>
      </c>
      <c r="C209" t="s">
        <v>17</v>
      </c>
      <c r="D209" t="s">
        <v>18</v>
      </c>
      <c r="E209" t="s">
        <v>19</v>
      </c>
      <c r="F209" t="s">
        <v>25</v>
      </c>
      <c r="G209" t="s">
        <v>12</v>
      </c>
      <c r="H209" t="s">
        <v>16</v>
      </c>
    </row>
    <row r="210" spans="1:8" x14ac:dyDescent="0.3">
      <c r="A210" s="1">
        <v>46101</v>
      </c>
      <c r="B210">
        <v>80</v>
      </c>
      <c r="C210" t="s">
        <v>8</v>
      </c>
      <c r="D210" t="s">
        <v>14</v>
      </c>
      <c r="E210" t="s">
        <v>15</v>
      </c>
      <c r="F210" t="s">
        <v>25</v>
      </c>
      <c r="G210" t="s">
        <v>12</v>
      </c>
      <c r="H210" t="s">
        <v>16</v>
      </c>
    </row>
    <row r="211" spans="1:8" x14ac:dyDescent="0.3">
      <c r="A211" s="1">
        <v>46101</v>
      </c>
      <c r="B211">
        <v>75</v>
      </c>
      <c r="C211" t="s">
        <v>8</v>
      </c>
      <c r="D211" t="s">
        <v>14</v>
      </c>
      <c r="E211" t="s">
        <v>15</v>
      </c>
      <c r="F211" t="s">
        <v>25</v>
      </c>
      <c r="G211" t="s">
        <v>12</v>
      </c>
      <c r="H211" t="s">
        <v>16</v>
      </c>
    </row>
    <row r="212" spans="1:8" x14ac:dyDescent="0.3">
      <c r="A212" s="1">
        <v>46101</v>
      </c>
      <c r="B212">
        <v>20</v>
      </c>
      <c r="C212" t="s">
        <v>8</v>
      </c>
      <c r="D212" t="s">
        <v>9</v>
      </c>
      <c r="E212" t="s">
        <v>10</v>
      </c>
      <c r="F212" t="s">
        <v>25</v>
      </c>
      <c r="G212" t="s">
        <v>12</v>
      </c>
      <c r="H212" t="s">
        <v>13</v>
      </c>
    </row>
    <row r="213" spans="1:8" x14ac:dyDescent="0.3">
      <c r="A213" s="1">
        <v>46102</v>
      </c>
      <c r="B213">
        <v>465</v>
      </c>
      <c r="C213" t="s">
        <v>17</v>
      </c>
      <c r="D213" t="s">
        <v>18</v>
      </c>
      <c r="E213" t="s">
        <v>19</v>
      </c>
      <c r="F213" t="s">
        <v>25</v>
      </c>
      <c r="G213" t="s">
        <v>23</v>
      </c>
      <c r="H213" t="s">
        <v>16</v>
      </c>
    </row>
    <row r="214" spans="1:8" x14ac:dyDescent="0.3">
      <c r="A214" s="1">
        <v>46102</v>
      </c>
      <c r="B214">
        <v>20</v>
      </c>
      <c r="C214" t="s">
        <v>8</v>
      </c>
      <c r="D214" t="s">
        <v>9</v>
      </c>
      <c r="E214" t="s">
        <v>10</v>
      </c>
      <c r="F214" t="s">
        <v>25</v>
      </c>
      <c r="G214" t="s">
        <v>23</v>
      </c>
      <c r="H214" t="s">
        <v>13</v>
      </c>
    </row>
    <row r="215" spans="1:8" x14ac:dyDescent="0.3">
      <c r="A215" s="1">
        <v>46102</v>
      </c>
      <c r="B215">
        <v>50</v>
      </c>
      <c r="C215" t="s">
        <v>8</v>
      </c>
      <c r="D215" t="s">
        <v>14</v>
      </c>
      <c r="E215" t="s">
        <v>15</v>
      </c>
      <c r="F215" t="s">
        <v>25</v>
      </c>
      <c r="G215" t="s">
        <v>23</v>
      </c>
      <c r="H215" t="s">
        <v>16</v>
      </c>
    </row>
    <row r="216" spans="1:8" x14ac:dyDescent="0.3">
      <c r="A216" s="1">
        <v>46102</v>
      </c>
      <c r="B216">
        <v>60</v>
      </c>
      <c r="C216" t="s">
        <v>8</v>
      </c>
      <c r="D216" t="s">
        <v>14</v>
      </c>
      <c r="E216" t="s">
        <v>15</v>
      </c>
      <c r="F216" t="s">
        <v>25</v>
      </c>
      <c r="G216" t="s">
        <v>23</v>
      </c>
      <c r="H216" t="s">
        <v>16</v>
      </c>
    </row>
    <row r="217" spans="1:8" x14ac:dyDescent="0.3">
      <c r="A217" s="1">
        <v>46102</v>
      </c>
      <c r="B217">
        <v>80</v>
      </c>
      <c r="C217" t="s">
        <v>8</v>
      </c>
      <c r="D217" t="s">
        <v>14</v>
      </c>
      <c r="E217" t="s">
        <v>15</v>
      </c>
      <c r="F217" t="s">
        <v>25</v>
      </c>
      <c r="G217" t="s">
        <v>23</v>
      </c>
      <c r="H217" t="s">
        <v>16</v>
      </c>
    </row>
    <row r="218" spans="1:8" x14ac:dyDescent="0.3">
      <c r="A218" s="1">
        <v>46102</v>
      </c>
      <c r="B218">
        <v>324</v>
      </c>
      <c r="C218" t="s">
        <v>17</v>
      </c>
      <c r="D218" t="s">
        <v>18</v>
      </c>
      <c r="E218" t="s">
        <v>19</v>
      </c>
      <c r="F218" t="s">
        <v>25</v>
      </c>
      <c r="G218" t="s">
        <v>23</v>
      </c>
      <c r="H218" t="s">
        <v>16</v>
      </c>
    </row>
    <row r="219" spans="1:8" x14ac:dyDescent="0.3">
      <c r="A219" s="1">
        <v>46102</v>
      </c>
      <c r="B219">
        <v>14</v>
      </c>
      <c r="C219" t="s">
        <v>8</v>
      </c>
      <c r="D219" t="s">
        <v>9</v>
      </c>
      <c r="E219" t="s">
        <v>10</v>
      </c>
      <c r="F219" t="s">
        <v>25</v>
      </c>
      <c r="G219" t="s">
        <v>23</v>
      </c>
      <c r="H219" t="s">
        <v>13</v>
      </c>
    </row>
    <row r="220" spans="1:8" x14ac:dyDescent="0.3">
      <c r="A220" s="1">
        <v>46102</v>
      </c>
      <c r="B220">
        <v>14</v>
      </c>
      <c r="C220" t="s">
        <v>8</v>
      </c>
      <c r="D220" t="s">
        <v>9</v>
      </c>
      <c r="E220" t="s">
        <v>10</v>
      </c>
      <c r="F220" t="s">
        <v>25</v>
      </c>
      <c r="G220" t="s">
        <v>23</v>
      </c>
      <c r="H220" t="s">
        <v>13</v>
      </c>
    </row>
    <row r="221" spans="1:8" x14ac:dyDescent="0.3">
      <c r="A221" s="1">
        <v>46102</v>
      </c>
      <c r="B221">
        <v>14</v>
      </c>
      <c r="C221" t="s">
        <v>8</v>
      </c>
      <c r="D221" t="s">
        <v>9</v>
      </c>
      <c r="E221" t="s">
        <v>10</v>
      </c>
      <c r="F221" t="s">
        <v>25</v>
      </c>
      <c r="G221" t="s">
        <v>23</v>
      </c>
      <c r="H221" t="s">
        <v>13</v>
      </c>
    </row>
    <row r="222" spans="1:8" x14ac:dyDescent="0.3">
      <c r="A222" s="1">
        <v>46102</v>
      </c>
      <c r="B222">
        <v>14</v>
      </c>
      <c r="C222" t="s">
        <v>8</v>
      </c>
      <c r="D222" t="s">
        <v>9</v>
      </c>
      <c r="E222" t="s">
        <v>10</v>
      </c>
      <c r="F222" t="s">
        <v>25</v>
      </c>
      <c r="G222" t="s">
        <v>23</v>
      </c>
      <c r="H222" t="s">
        <v>13</v>
      </c>
    </row>
    <row r="223" spans="1:8" x14ac:dyDescent="0.3">
      <c r="A223" s="1">
        <v>46102</v>
      </c>
      <c r="B223">
        <v>14</v>
      </c>
      <c r="C223" t="s">
        <v>8</v>
      </c>
      <c r="D223" t="s">
        <v>9</v>
      </c>
      <c r="E223" t="s">
        <v>10</v>
      </c>
      <c r="F223" t="s">
        <v>25</v>
      </c>
      <c r="G223" t="s">
        <v>23</v>
      </c>
      <c r="H223" t="s">
        <v>13</v>
      </c>
    </row>
    <row r="224" spans="1:8" x14ac:dyDescent="0.3">
      <c r="A224" s="1">
        <v>46102</v>
      </c>
      <c r="B224">
        <v>50</v>
      </c>
      <c r="C224" t="s">
        <v>8</v>
      </c>
      <c r="D224" t="s">
        <v>14</v>
      </c>
      <c r="E224" t="s">
        <v>15</v>
      </c>
      <c r="F224" t="s">
        <v>25</v>
      </c>
      <c r="G224" t="s">
        <v>23</v>
      </c>
      <c r="H224" t="s">
        <v>16</v>
      </c>
    </row>
    <row r="225" spans="1:8" x14ac:dyDescent="0.3">
      <c r="A225" s="1">
        <v>46103</v>
      </c>
      <c r="B225">
        <v>110</v>
      </c>
      <c r="C225" t="s">
        <v>8</v>
      </c>
      <c r="D225" t="s">
        <v>14</v>
      </c>
      <c r="E225" t="s">
        <v>15</v>
      </c>
      <c r="F225" t="s">
        <v>25</v>
      </c>
      <c r="G225" t="s">
        <v>23</v>
      </c>
      <c r="H225" t="s">
        <v>16</v>
      </c>
    </row>
    <row r="226" spans="1:8" x14ac:dyDescent="0.3">
      <c r="A226" s="1">
        <v>46103</v>
      </c>
      <c r="B226">
        <v>60</v>
      </c>
      <c r="C226" t="s">
        <v>8</v>
      </c>
      <c r="D226" t="s">
        <v>14</v>
      </c>
      <c r="E226" t="s">
        <v>15</v>
      </c>
      <c r="F226" t="s">
        <v>25</v>
      </c>
      <c r="G226" t="s">
        <v>23</v>
      </c>
      <c r="H226" t="s">
        <v>16</v>
      </c>
    </row>
    <row r="227" spans="1:8" x14ac:dyDescent="0.3">
      <c r="A227" s="1">
        <v>46103</v>
      </c>
      <c r="B227">
        <v>163</v>
      </c>
      <c r="C227" t="s">
        <v>8</v>
      </c>
      <c r="D227" t="s">
        <v>14</v>
      </c>
      <c r="E227" t="s">
        <v>15</v>
      </c>
      <c r="F227" t="s">
        <v>25</v>
      </c>
      <c r="G227" t="s">
        <v>23</v>
      </c>
      <c r="H227" t="s">
        <v>16</v>
      </c>
    </row>
    <row r="228" spans="1:8" x14ac:dyDescent="0.3">
      <c r="A228" s="1">
        <v>46103</v>
      </c>
      <c r="B228">
        <v>80</v>
      </c>
      <c r="C228" t="s">
        <v>8</v>
      </c>
      <c r="D228" t="s">
        <v>14</v>
      </c>
      <c r="E228" t="s">
        <v>15</v>
      </c>
      <c r="F228" t="s">
        <v>25</v>
      </c>
      <c r="G228" t="s">
        <v>23</v>
      </c>
      <c r="H228" t="s">
        <v>16</v>
      </c>
    </row>
    <row r="229" spans="1:8" x14ac:dyDescent="0.3">
      <c r="A229" s="1">
        <v>46103</v>
      </c>
      <c r="B229">
        <v>320</v>
      </c>
      <c r="C229" t="s">
        <v>17</v>
      </c>
      <c r="D229" t="s">
        <v>18</v>
      </c>
      <c r="E229" t="s">
        <v>19</v>
      </c>
      <c r="F229" t="s">
        <v>25</v>
      </c>
      <c r="G229" t="s">
        <v>23</v>
      </c>
      <c r="H229" t="s">
        <v>16</v>
      </c>
    </row>
    <row r="230" spans="1:8" x14ac:dyDescent="0.3">
      <c r="A230" s="1">
        <v>46103</v>
      </c>
      <c r="B230">
        <v>50</v>
      </c>
      <c r="C230" t="s">
        <v>8</v>
      </c>
      <c r="D230" t="s">
        <v>14</v>
      </c>
      <c r="E230" t="s">
        <v>15</v>
      </c>
      <c r="F230" t="s">
        <v>25</v>
      </c>
      <c r="G230" t="s">
        <v>23</v>
      </c>
      <c r="H230" t="s">
        <v>16</v>
      </c>
    </row>
    <row r="231" spans="1:8" x14ac:dyDescent="0.3">
      <c r="A231" s="1">
        <v>46104</v>
      </c>
      <c r="B231">
        <v>40</v>
      </c>
      <c r="C231" t="s">
        <v>8</v>
      </c>
      <c r="D231" t="s">
        <v>9</v>
      </c>
      <c r="E231" t="s">
        <v>10</v>
      </c>
      <c r="F231" t="s">
        <v>25</v>
      </c>
      <c r="G231" t="s">
        <v>12</v>
      </c>
      <c r="H231" t="s">
        <v>13</v>
      </c>
    </row>
    <row r="232" spans="1:8" x14ac:dyDescent="0.3">
      <c r="A232" s="1">
        <v>46104</v>
      </c>
      <c r="B232">
        <v>50</v>
      </c>
      <c r="C232" t="s">
        <v>8</v>
      </c>
      <c r="D232" t="s">
        <v>14</v>
      </c>
      <c r="E232" t="s">
        <v>15</v>
      </c>
      <c r="F232" t="s">
        <v>25</v>
      </c>
      <c r="G232" t="s">
        <v>12</v>
      </c>
      <c r="H232" t="s">
        <v>16</v>
      </c>
    </row>
    <row r="233" spans="1:8" x14ac:dyDescent="0.3">
      <c r="A233" s="1">
        <v>46105</v>
      </c>
      <c r="B233">
        <v>110</v>
      </c>
      <c r="C233" t="s">
        <v>8</v>
      </c>
      <c r="D233" t="s">
        <v>14</v>
      </c>
      <c r="E233" t="s">
        <v>15</v>
      </c>
      <c r="F233" t="s">
        <v>25</v>
      </c>
      <c r="G233" t="s">
        <v>12</v>
      </c>
      <c r="H233" t="s">
        <v>16</v>
      </c>
    </row>
    <row r="234" spans="1:8" x14ac:dyDescent="0.3">
      <c r="A234" s="1">
        <v>46105</v>
      </c>
      <c r="B234">
        <v>15</v>
      </c>
      <c r="C234" t="s">
        <v>8</v>
      </c>
      <c r="D234" t="s">
        <v>9</v>
      </c>
      <c r="E234" t="s">
        <v>10</v>
      </c>
      <c r="F234" t="s">
        <v>25</v>
      </c>
      <c r="G234" t="s">
        <v>12</v>
      </c>
      <c r="H234" t="s">
        <v>13</v>
      </c>
    </row>
    <row r="235" spans="1:8" x14ac:dyDescent="0.3">
      <c r="A235" s="1">
        <v>46105</v>
      </c>
      <c r="B235">
        <v>30</v>
      </c>
      <c r="C235" t="s">
        <v>8</v>
      </c>
      <c r="D235" t="s">
        <v>9</v>
      </c>
      <c r="E235" t="s">
        <v>10</v>
      </c>
      <c r="F235" t="s">
        <v>25</v>
      </c>
      <c r="G235" t="s">
        <v>12</v>
      </c>
      <c r="H235" t="s">
        <v>13</v>
      </c>
    </row>
    <row r="236" spans="1:8" x14ac:dyDescent="0.3">
      <c r="A236" s="1">
        <v>46105</v>
      </c>
      <c r="B236">
        <v>200</v>
      </c>
      <c r="C236" t="s">
        <v>17</v>
      </c>
      <c r="D236" t="s">
        <v>18</v>
      </c>
      <c r="E236" t="s">
        <v>19</v>
      </c>
      <c r="F236" t="s">
        <v>25</v>
      </c>
      <c r="G236" t="s">
        <v>12</v>
      </c>
      <c r="H236" t="s">
        <v>16</v>
      </c>
    </row>
    <row r="237" spans="1:8" x14ac:dyDescent="0.3">
      <c r="A237" s="1">
        <v>46105</v>
      </c>
      <c r="B237">
        <v>145</v>
      </c>
      <c r="C237" t="s">
        <v>8</v>
      </c>
      <c r="D237" t="s">
        <v>14</v>
      </c>
      <c r="E237" t="s">
        <v>15</v>
      </c>
      <c r="F237" t="s">
        <v>25</v>
      </c>
      <c r="G237" t="s">
        <v>12</v>
      </c>
      <c r="H237" t="s">
        <v>16</v>
      </c>
    </row>
    <row r="238" spans="1:8" x14ac:dyDescent="0.3">
      <c r="A238" s="1">
        <v>46105</v>
      </c>
      <c r="B238">
        <v>40</v>
      </c>
      <c r="C238" t="s">
        <v>8</v>
      </c>
      <c r="D238" t="s">
        <v>9</v>
      </c>
      <c r="E238" t="s">
        <v>10</v>
      </c>
      <c r="F238" t="s">
        <v>25</v>
      </c>
      <c r="G238" t="s">
        <v>12</v>
      </c>
      <c r="H238" t="s">
        <v>13</v>
      </c>
    </row>
    <row r="239" spans="1:8" x14ac:dyDescent="0.3">
      <c r="A239" s="1">
        <v>46106</v>
      </c>
      <c r="B239">
        <v>335</v>
      </c>
      <c r="C239" t="s">
        <v>17</v>
      </c>
      <c r="D239" t="s">
        <v>18</v>
      </c>
      <c r="E239" t="s">
        <v>19</v>
      </c>
      <c r="F239" t="s">
        <v>25</v>
      </c>
      <c r="G239" t="s">
        <v>12</v>
      </c>
      <c r="H239" t="s">
        <v>16</v>
      </c>
    </row>
    <row r="240" spans="1:8" x14ac:dyDescent="0.3">
      <c r="A240" s="1">
        <v>46106</v>
      </c>
      <c r="B240">
        <v>10</v>
      </c>
      <c r="C240" t="s">
        <v>8</v>
      </c>
      <c r="D240" t="s">
        <v>9</v>
      </c>
      <c r="E240" t="s">
        <v>10</v>
      </c>
      <c r="F240" t="s">
        <v>25</v>
      </c>
      <c r="G240" t="s">
        <v>12</v>
      </c>
      <c r="H240" t="s">
        <v>13</v>
      </c>
    </row>
    <row r="241" spans="1:8" x14ac:dyDescent="0.3">
      <c r="A241" s="1">
        <v>46106</v>
      </c>
      <c r="B241">
        <v>300</v>
      </c>
      <c r="C241" t="s">
        <v>17</v>
      </c>
      <c r="D241" t="s">
        <v>18</v>
      </c>
      <c r="E241" t="s">
        <v>19</v>
      </c>
      <c r="F241" t="s">
        <v>25</v>
      </c>
      <c r="G241" t="s">
        <v>12</v>
      </c>
      <c r="H241" t="s">
        <v>16</v>
      </c>
    </row>
    <row r="242" spans="1:8" x14ac:dyDescent="0.3">
      <c r="A242" s="1">
        <v>46106</v>
      </c>
      <c r="B242">
        <v>80</v>
      </c>
      <c r="C242" t="s">
        <v>8</v>
      </c>
      <c r="D242" t="s">
        <v>14</v>
      </c>
      <c r="E242" t="s">
        <v>15</v>
      </c>
      <c r="F242" t="s">
        <v>25</v>
      </c>
      <c r="G242" t="s">
        <v>12</v>
      </c>
      <c r="H242" t="s">
        <v>16</v>
      </c>
    </row>
    <row r="243" spans="1:8" x14ac:dyDescent="0.3">
      <c r="A243" s="1">
        <v>46107</v>
      </c>
      <c r="B243">
        <v>400</v>
      </c>
      <c r="C243" t="s">
        <v>17</v>
      </c>
      <c r="D243" t="s">
        <v>18</v>
      </c>
      <c r="E243" t="s">
        <v>19</v>
      </c>
      <c r="F243" t="s">
        <v>25</v>
      </c>
      <c r="G243" t="s">
        <v>12</v>
      </c>
      <c r="H243" t="s">
        <v>16</v>
      </c>
    </row>
    <row r="244" spans="1:8" x14ac:dyDescent="0.3">
      <c r="A244" s="1">
        <v>46107</v>
      </c>
      <c r="B244">
        <v>50</v>
      </c>
      <c r="C244" t="s">
        <v>8</v>
      </c>
      <c r="D244" t="s">
        <v>14</v>
      </c>
      <c r="E244" t="s">
        <v>15</v>
      </c>
      <c r="F244" t="s">
        <v>25</v>
      </c>
      <c r="G244" t="s">
        <v>12</v>
      </c>
      <c r="H244" t="s">
        <v>16</v>
      </c>
    </row>
    <row r="245" spans="1:8" x14ac:dyDescent="0.3">
      <c r="A245" s="1">
        <v>46107</v>
      </c>
      <c r="B245">
        <v>375</v>
      </c>
      <c r="C245" t="s">
        <v>17</v>
      </c>
      <c r="D245" t="s">
        <v>18</v>
      </c>
      <c r="E245" t="s">
        <v>19</v>
      </c>
      <c r="F245" t="s">
        <v>25</v>
      </c>
      <c r="G245" t="s">
        <v>12</v>
      </c>
      <c r="H245" t="s">
        <v>16</v>
      </c>
    </row>
    <row r="246" spans="1:8" x14ac:dyDescent="0.3">
      <c r="A246" s="1">
        <v>46107</v>
      </c>
      <c r="B246">
        <v>20</v>
      </c>
      <c r="C246" t="s">
        <v>8</v>
      </c>
      <c r="D246" t="s">
        <v>9</v>
      </c>
      <c r="E246" t="s">
        <v>10</v>
      </c>
      <c r="F246" t="s">
        <v>25</v>
      </c>
      <c r="G246" t="s">
        <v>12</v>
      </c>
      <c r="H246" t="s">
        <v>13</v>
      </c>
    </row>
    <row r="247" spans="1:8" x14ac:dyDescent="0.3">
      <c r="A247" s="1">
        <v>46108</v>
      </c>
      <c r="B247">
        <v>164</v>
      </c>
      <c r="C247" t="s">
        <v>8</v>
      </c>
      <c r="D247" t="s">
        <v>14</v>
      </c>
      <c r="E247" t="s">
        <v>15</v>
      </c>
      <c r="F247" t="s">
        <v>25</v>
      </c>
      <c r="G247" t="s">
        <v>12</v>
      </c>
      <c r="H247" t="s">
        <v>16</v>
      </c>
    </row>
    <row r="248" spans="1:8" x14ac:dyDescent="0.3">
      <c r="A248" s="1">
        <v>46108</v>
      </c>
      <c r="B248">
        <v>80</v>
      </c>
      <c r="C248" t="s">
        <v>8</v>
      </c>
      <c r="D248" t="s">
        <v>14</v>
      </c>
      <c r="E248" t="s">
        <v>15</v>
      </c>
      <c r="F248" t="s">
        <v>25</v>
      </c>
      <c r="G248" t="s">
        <v>12</v>
      </c>
      <c r="H248" t="s">
        <v>16</v>
      </c>
    </row>
    <row r="249" spans="1:8" x14ac:dyDescent="0.3">
      <c r="A249" s="1">
        <v>46109</v>
      </c>
      <c r="B249">
        <v>20</v>
      </c>
      <c r="C249" t="s">
        <v>8</v>
      </c>
      <c r="D249" t="s">
        <v>9</v>
      </c>
      <c r="E249" t="s">
        <v>10</v>
      </c>
      <c r="F249" t="s">
        <v>25</v>
      </c>
      <c r="G249" t="s">
        <v>23</v>
      </c>
      <c r="H249" t="s">
        <v>13</v>
      </c>
    </row>
    <row r="250" spans="1:8" x14ac:dyDescent="0.3">
      <c r="A250" s="1">
        <v>46109</v>
      </c>
      <c r="B250">
        <v>30</v>
      </c>
      <c r="C250" t="s">
        <v>8</v>
      </c>
      <c r="D250" t="s">
        <v>9</v>
      </c>
      <c r="E250" t="s">
        <v>10</v>
      </c>
      <c r="F250" t="s">
        <v>25</v>
      </c>
      <c r="G250" t="s">
        <v>23</v>
      </c>
      <c r="H250" t="s">
        <v>13</v>
      </c>
    </row>
    <row r="251" spans="1:8" x14ac:dyDescent="0.3">
      <c r="A251" s="1">
        <v>46109</v>
      </c>
      <c r="B251">
        <v>160</v>
      </c>
      <c r="C251" t="s">
        <v>8</v>
      </c>
      <c r="D251" t="s">
        <v>14</v>
      </c>
      <c r="E251" t="s">
        <v>15</v>
      </c>
      <c r="F251" t="s">
        <v>25</v>
      </c>
      <c r="G251" t="s">
        <v>23</v>
      </c>
      <c r="H251" t="s">
        <v>16</v>
      </c>
    </row>
    <row r="252" spans="1:8" x14ac:dyDescent="0.3">
      <c r="A252" s="1">
        <v>46109</v>
      </c>
      <c r="B252">
        <v>30</v>
      </c>
      <c r="C252" t="s">
        <v>8</v>
      </c>
      <c r="D252" t="s">
        <v>9</v>
      </c>
      <c r="E252" t="s">
        <v>10</v>
      </c>
      <c r="F252" t="s">
        <v>25</v>
      </c>
      <c r="G252" t="s">
        <v>23</v>
      </c>
      <c r="H252" t="s">
        <v>13</v>
      </c>
    </row>
    <row r="253" spans="1:8" x14ac:dyDescent="0.3">
      <c r="A253" s="1">
        <v>46109</v>
      </c>
      <c r="B253">
        <v>30</v>
      </c>
      <c r="C253" t="s">
        <v>8</v>
      </c>
      <c r="D253" t="s">
        <v>9</v>
      </c>
      <c r="E253" t="s">
        <v>10</v>
      </c>
      <c r="F253" t="s">
        <v>25</v>
      </c>
      <c r="G253" t="s">
        <v>23</v>
      </c>
      <c r="H253" t="s">
        <v>13</v>
      </c>
    </row>
    <row r="254" spans="1:8" x14ac:dyDescent="0.3">
      <c r="A254" s="1">
        <v>46109</v>
      </c>
      <c r="B254">
        <v>30</v>
      </c>
      <c r="C254" t="s">
        <v>8</v>
      </c>
      <c r="D254" t="s">
        <v>9</v>
      </c>
      <c r="E254" t="s">
        <v>10</v>
      </c>
      <c r="F254" t="s">
        <v>25</v>
      </c>
      <c r="G254" t="s">
        <v>23</v>
      </c>
      <c r="H254" t="s">
        <v>13</v>
      </c>
    </row>
    <row r="255" spans="1:8" x14ac:dyDescent="0.3">
      <c r="A255" s="1">
        <v>46110</v>
      </c>
      <c r="B255">
        <v>190.92</v>
      </c>
      <c r="C255" t="s">
        <v>8</v>
      </c>
      <c r="D255" t="s">
        <v>14</v>
      </c>
      <c r="E255" t="s">
        <v>15</v>
      </c>
      <c r="F255" t="s">
        <v>25</v>
      </c>
      <c r="G255" t="s">
        <v>23</v>
      </c>
      <c r="H255" t="s">
        <v>16</v>
      </c>
    </row>
    <row r="256" spans="1:8" x14ac:dyDescent="0.3">
      <c r="A256" s="1">
        <v>46110</v>
      </c>
      <c r="B256">
        <v>80</v>
      </c>
      <c r="C256" t="s">
        <v>8</v>
      </c>
      <c r="D256" t="s">
        <v>14</v>
      </c>
      <c r="E256" t="s">
        <v>15</v>
      </c>
      <c r="F256" t="s">
        <v>25</v>
      </c>
      <c r="G256" t="s">
        <v>23</v>
      </c>
      <c r="H256" t="s">
        <v>16</v>
      </c>
    </row>
    <row r="257" spans="1:8" x14ac:dyDescent="0.3">
      <c r="A257" s="1">
        <v>46111</v>
      </c>
      <c r="B257">
        <v>321</v>
      </c>
      <c r="C257" t="s">
        <v>17</v>
      </c>
      <c r="D257" t="s">
        <v>18</v>
      </c>
      <c r="E257" t="s">
        <v>19</v>
      </c>
      <c r="F257" t="s">
        <v>25</v>
      </c>
      <c r="G257" t="s">
        <v>12</v>
      </c>
      <c r="H257" t="s">
        <v>16</v>
      </c>
    </row>
    <row r="258" spans="1:8" x14ac:dyDescent="0.3">
      <c r="A258" s="1">
        <v>46111</v>
      </c>
      <c r="B258">
        <v>30</v>
      </c>
      <c r="C258" t="s">
        <v>8</v>
      </c>
      <c r="D258" t="s">
        <v>9</v>
      </c>
      <c r="E258" t="s">
        <v>10</v>
      </c>
      <c r="F258" t="s">
        <v>25</v>
      </c>
      <c r="G258" t="s">
        <v>12</v>
      </c>
      <c r="H258" t="s">
        <v>13</v>
      </c>
    </row>
    <row r="259" spans="1:8" x14ac:dyDescent="0.3">
      <c r="A259" s="1">
        <v>46111</v>
      </c>
      <c r="B259">
        <v>25</v>
      </c>
      <c r="C259" t="s">
        <v>8</v>
      </c>
      <c r="D259" t="s">
        <v>9</v>
      </c>
      <c r="E259" t="s">
        <v>10</v>
      </c>
      <c r="F259" t="s">
        <v>25</v>
      </c>
      <c r="G259" t="s">
        <v>12</v>
      </c>
      <c r="H259" t="s">
        <v>13</v>
      </c>
    </row>
    <row r="260" spans="1:8" x14ac:dyDescent="0.3">
      <c r="A260" s="1">
        <v>46113</v>
      </c>
      <c r="B260">
        <v>96</v>
      </c>
      <c r="C260" t="s">
        <v>8</v>
      </c>
      <c r="D260" t="s">
        <v>14</v>
      </c>
      <c r="E260" t="s">
        <v>15</v>
      </c>
      <c r="F260" t="s">
        <v>26</v>
      </c>
      <c r="G260" t="s">
        <v>12</v>
      </c>
      <c r="H260" t="s">
        <v>16</v>
      </c>
    </row>
    <row r="265" spans="1:8" x14ac:dyDescent="0.3">
      <c r="D265">
        <f>MAX(B166:B259)</f>
        <v>1540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D341D-FBF4-4562-AF05-EF63FB6A6232}">
  <dimension ref="A1:T1"/>
  <sheetViews>
    <sheetView showGridLines="0" showRowColHeaders="0" tabSelected="1" zoomScale="80" zoomScaleNormal="45" workbookViewId="0">
      <selection activeCell="AD18" sqref="AD18"/>
    </sheetView>
  </sheetViews>
  <sheetFormatPr defaultRowHeight="14.4" x14ac:dyDescent="0.3"/>
  <sheetData>
    <row r="1" spans="1:20" ht="21" x14ac:dyDescent="0.4">
      <c r="A1" s="4"/>
      <c r="B1" s="4"/>
      <c r="C1" s="4"/>
      <c r="D1" s="4"/>
      <c r="E1" s="4"/>
      <c r="F1" s="4"/>
      <c r="G1" s="4"/>
      <c r="H1" s="4"/>
      <c r="I1" s="4"/>
      <c r="J1" s="4"/>
      <c r="K1" s="4"/>
      <c r="L1" s="4"/>
      <c r="M1" s="4"/>
      <c r="N1" s="4"/>
      <c r="O1" s="4"/>
      <c r="P1" s="4"/>
      <c r="Q1" s="4"/>
      <c r="R1" s="4"/>
      <c r="S1" s="4"/>
      <c r="T1" s="4"/>
    </row>
  </sheetData>
  <mergeCells count="1">
    <mergeCell ref="A1:T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full_expense_dataset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 Hadwani</cp:lastModifiedBy>
  <dcterms:created xsi:type="dcterms:W3CDTF">2026-04-07T16:56:36Z</dcterms:created>
  <dcterms:modified xsi:type="dcterms:W3CDTF">2026-04-10T06:39:51Z</dcterms:modified>
</cp:coreProperties>
</file>